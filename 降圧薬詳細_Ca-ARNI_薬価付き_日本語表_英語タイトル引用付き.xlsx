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28d092e81a43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19ab3db97c14790"/>
  </x:sheets>
</x:workbook>
</file>

<file path=xl/sharedStrings.xml><?xml version="1.0" encoding="utf-8"?>
<x:sst xmlns:x="http://schemas.openxmlformats.org/spreadsheetml/2006/main">
  <x:si>
    <x:t xml:space="preserve">分類</x:t>
  </x:si>
  <x:si>
    <x:t xml:space="preserve">薬剤名・用量</x:t>
  </x:si>
  <x:si>
    <x:t xml:space="preserve">降圧効果（平均変化・95%CI）</x:t>
  </x:si>
  <x:si>
    <x:t xml:space="preserve">主な副作用（頻度）</x:t>
  </x:si>
  <x:si>
    <x:t xml:space="preserve">参考文献（Circulation形式・英語タイトル）</x:t>
  </x:si>
  <x:si>
    <x:t xml:space="preserve">錠価（円/錠）</x:t>
  </x:si>
  <x:si>
    <x:t xml:space="preserve">年間薬価（円/年）</x:t>
  </x:si>
  <x:si>
    <x:t xml:space="preserve">算出式</x:t>
  </x:si>
  <x:si>
    <x:t xml:space="preserve">備考（出典）」</x:t>
  </x:si>
  <x:si>
    <x:t xml:space="preserve">Ca拮抗薬</x:t>
  </x:si>
  <x:si>
    <x:t xml:space="preserve">アムロジピン 2.5 mg</x:t>
  </x:si>
  <x:si>
    <x:t xml:space="preserve">−6.3 (95% CI −8.9～−3.7)</x:t>
  </x:si>
  <x:si>
    <x:t xml:space="preserve">軽度頭痛（3%）</x:t>
  </x:si>
  <x:si>
    <x:t xml:space="preserve">Hiltunen T, Suonsyrjä T, Hannila-Handelberg T, et al. Predictors of antihypertensive drug responses: initial data from a placebo-controlled, randomized, cross-over study with four antihypertensive drugs (The GENRES Study). Am J Hypertens. 2007;20(3):311–318.</x:t>
  </x:si>
  <x:si>
    <x:t xml:space="preserve">11.2</x:t>
  </x:si>
  <x:si>
    <x:t xml:space="preserve">4,088 円/年</x:t>
  </x:si>
  <x:si>
    <x:t xml:space="preserve">11.2 × 365 = 4,088 円/年</x:t>
  </x:si>
  <x:si>
    <x:t xml:space="preserve">KEGG薬価データ</x:t>
  </x:si>
  <x:si>
    <x:t xml:space="preserve">アムロジピン 5 mg</x:t>
  </x:si>
  <x:si>
    <x:t xml:space="preserve">−11.7/−6.8 mmHg</x:t>
  </x:si>
  <x:si>
    <x:t xml:space="preserve">浮腫（9–10%）、顔面紅潮（3%）</x:t>
  </x:si>
  <x:si>
    <x:t xml:space="preserve">Soh M, Won K, Kim JJ, et al. Phase III randomized clinical trial of efficacy and safety of amlodipine and candesartan cilexetil combination for hypertension treatment. Sci Rep. 2024;14:1–12.</x:t>
  </x:si>
  <x:si>
    <x:t xml:space="preserve">アムロジピン 10 mg</x:t>
  </x:si>
  <x:si>
    <x:t xml:space="preserve">−14.2/−9.9 mmHg</x:t>
  </x:si>
  <x:si>
    <x:t xml:space="preserve">浮腫（12–15%）、頭痛（8%）</x:t>
  </x:si>
  <x:si>
    <x:t xml:space="preserve">Youssef A, Elghoneimy H, Helmy M, et al. Effect of amlodipine versus bisoprolol in hypertensive patients on maintenance hemodialysis. Medicine. 2021;100(8):e24903.</x:t>
  </x:si>
  <x:si>
    <x:t xml:space="preserve">β遮断薬</x:t>
  </x:si>
  <x:si>
    <x:t xml:space="preserve">ビソプロロール 2.5 mg</x:t>
  </x:si>
  <x:si>
    <x:t xml:space="preserve">−8.4/−4.7 mmHg</x:t>
  </x:si>
  <x:si>
    <x:t xml:space="preserve">徐脈（2%）</x:t>
  </x:si>
  <x:si>
    <x:t xml:space="preserve">Hostalek U, Koch E. Treatment of hypertension with a fixed-dose combination of bisoprolol and amlodipine in daily practice: results of a multinational non-investigational study. Cardiol Ther. 2016;5(1):179–190.</x:t>
  </x:si>
  <x:si>
    <x:t xml:space="preserve">15.6</x:t>
  </x:si>
  <x:si>
    <x:t xml:space="preserve">5,694 円/年</x:t>
  </x:si>
  <x:si>
    <x:t xml:space="preserve">15.6 × 365 = 5,694 円/年</x:t>
  </x:si>
  <x:si>
    <x:t xml:space="preserve">ビソプロロール 5 mg</x:t>
  </x:si>
  <x:si>
    <x:t xml:space="preserve">−13/−7 mmHg</x:t>
  </x:si>
  <x:si>
    <x:t xml:space="preserve">徐脈（5%）、疲労（3%）</x:t>
  </x:si>
  <x:si>
    <x:t xml:space="preserve">ビソプロロール 10 mg</x:t>
  </x:si>
  <x:si>
    <x:t xml:space="preserve">−16/−9 mmHg</x:t>
  </x:si>
  <x:si>
    <x:t xml:space="preserve">勃起障害（2–3%）、抑うつ（1–2%）</x:t>
  </x:si>
  <x:si>
    <x:t xml:space="preserve">Kessing LV, Rytgaard H, Ekstrøm CT, et al. Antihypertensive drugs and risk of depression: a nationwide population-based study. Hypertension. 2020;76(5):1263–1279.</x:t>
  </x:si>
  <x:si>
    <x:t xml:space="preserve">カルベジロール 5 mg</x:t>
  </x:si>
  <x:si>
    <x:t xml:space="preserve">−4/−3 mmHg（アプリ設定値）</x:t>
  </x:si>
  <x:si>
    <x:t xml:space="preserve">徐脈、めまい、低血圧</x:t>
  </x:si>
  <x:si>
    <x:t xml:space="preserve">Wong GWK, Laugerotte A, Wright JM. Blood pressure lowering efficacy of dual alpha and beta blockers for primary hypertension. Cochrane Database Syst Rev. 2015;(8):CD007449.</x:t>
  </x:si>
  <x:si>
    <x:t xml:space="preserve">10.8（2.5 mg錠）</x:t>
  </x:si>
  <x:si>
    <x:t xml:space="preserve">7,884 円/年</x:t>
  </x:si>
  <x:si>
    <x:t xml:space="preserve">10.8円 × 2錠/日 × 365日 = 7,884円/年</x:t>
  </x:si>
  <x:si>
    <x:t xml:space="preserve">固定用量RCTを統合したCochraneレビューにおけるカルベジロールのプラセボ補正トラフ降圧効果−4/−3 mmHgを、5 mgの保守的なアプリ設定値として採用。5 mg固定投与の直接実測値ではない。国内に5 mg錠はないため2.5 mg錠×2錠。</x:t>
  </x:si>
  <x:si>
    <x:t xml:space="preserve">カルベジロール 10 mg</x:t>
  </x:si>
  <x:si>
    <x:t xml:space="preserve">−12/−6.5 mmHg（推定）</x:t>
  </x:si>
  <x:si>
    <x:t xml:space="preserve">Model interpolation between the 5-mg setting and the Japanese 5→10→20-mg dose-escalation study endpoint.</x:t>
  </x:si>
  <x:si>
    <x:t xml:space="preserve">10.8</x:t>
  </x:si>
  <x:si>
    <x:t xml:space="preserve">3,942 円/年</x:t>
  </x:si>
  <x:si>
    <x:t xml:space="preserve">10.8円 × 1錠/日 × 365日 = 3,942円/年</x:t>
  </x:si>
  <x:si>
    <x:t xml:space="preserve">アプリ用推定値。5 mgの設定値−4/−3 mmHgと、20 mgの代用値−20/−10 mmHgの算術中間：SBP (−4＋−20)/2＝−12、DBP (−3＋−10)/2＝−6.5。臨床試験で直接観測された10 mg固定用量値ではない。</x:t>
  </x:si>
  <x:si>
    <x:t xml:space="preserve">カルベジロール 20 mg</x:t>
  </x:si>
  <x:si>
    <x:t xml:space="preserve">−20/−10 mmHg（国内漸増試験全体値を代用）</x:t>
  </x:si>
  <x:si>
    <x:t xml:space="preserve">副作用発現率5.2%；心拍数77→66/分（試験全体）</x:t>
  </x:si>
  <x:si>
    <x:t xml:space="preserve">Ogihara T, Goto Y, Yoshinaga K, et al. Dose-effect relationship of carvedilol in essential hypertension. Drugs. 1988;36(Suppl 6):75–81.</x:t>
  </x:si>
  <x:si>
    <x:t xml:space="preserve">日本人軽～中等症高血圧134例に5 mgから開始し、不十分時に10 mg、20 mgへ4週ごとに増量。12週後の試験集団全体で170/101→150/91 mmHg（−20/−10）。20 mg固定群の直接実測値ではなく、アプリでは20 mgの保守的代用値として使用する。</x:t>
  </x:si>
  <x:si>
    <x:t xml:space="preserve">ARB</x:t>
  </x:si>
  <x:si>
    <x:t xml:space="preserve">アジルサルタン 20 mg</x:t>
  </x:si>
  <x:si>
    <x:t xml:space="preserve">−11.8/−6.8 mmHg</x:t>
  </x:si>
  <x:si>
    <x:t xml:space="preserve">頭痛（2%）</x:t>
  </x:si>
  <x:si>
    <x:t xml:space="preserve">Miyoshi T, Onoue G, Ito H. Effect of switching to azilsartan from fixed-dose combination of an angiotensin II receptor blocker and calcium channel blocker or a thiazide in patients with hypertension. J Clin Med Res. 2019;11(4):202–207.</x:t>
  </x:si>
  <x:si>
    <x:t xml:space="preserve">39.5</x:t>
  </x:si>
  <x:si>
    <x:t xml:space="preserve">14,418 円/年</x:t>
  </x:si>
  <x:si>
    <x:t xml:space="preserve">39.5 × 365 = 14,418 円/年</x:t>
  </x:si>
  <x:si>
    <x:t xml:space="preserve">アジルサルタン 40 mg</x:t>
  </x:si>
  <x:si>
    <x:t xml:space="preserve">−15.9/−9.2 mmHg</x:t>
  </x:si>
  <x:si>
    <x:t xml:space="preserve">高K血症（1%）、めまい（2–3%）</x:t>
  </x:si>
  <x:si>
    <x:t xml:space="preserve">Dash A, Meher B, Padhy B, et al. Comparison of efficacy and safety of azilsartan and amlodipine combination versus telmisartan and amlodipine combination in hypertensive patients: a non-inferiority trial. Cureus. 2023;15(3):e35865.</x:t>
  </x:si>
  <x:si>
    <x:t xml:space="preserve">オルメサルタン 5 mg</x:t>
  </x:si>
  <x:si>
    <x:t xml:space="preserve">−7.6/−6.1 mmHg（アプリ用推定）</x:t>
  </x:si>
  <x:si>
    <x:t xml:space="preserve">めまい、高K血症、腎機能悪化；スプルー様腸症（まれ）</x:t>
  </x:si>
  <x:si>
    <x:t xml:space="preserve">Giles TD, Robinson TD. Reduction of systolic blood pressure and pulse pressure with olmesartan medoxomil. Am J Hypertens. 2003;16.</x:t>
  </x:si>
  <x:si>
    <x:t xml:space="preserve">20 mg固定用量実測値−15.1/−12.2 mmHgの50%として設定したアプリ用推定値。5 mg固定用量の成人直接実測値ではない。薬価は後発品代表値。https://consensus.app/papers/p214-reduction-of-systolic-blood-pressure-and-pulse-giles-robinson/cf0202b1c9a55020be64c8365b078c43/ ; https://www.kegg.jp/medicus-bin/search_drug</x:t>
  </x:si>
  <x:si>
    <x:t xml:space="preserve">オルメサルタン 10 mg</x:t>
  </x:si>
  <x:si>
    <x:t xml:space="preserve">−11.3/−9.2 mmHg（アプリ用推定）</x:t>
  </x:si>
  <x:si>
    <x:t xml:space="preserve">Püchler K, Laeis P, Stumpe KO. Blood pressure response, but not adverse event incidence, correlates with dose of angiotensin II antagonist. J Hypertens. 2001;19:S41–S48.</x:t>
  </x:si>
  <x:si>
    <x:t xml:space="preserve">20 mg固定用量実測値−15.1/−12.2 mmHgの75%として設定したアプリ用推定値。10 mgの成人固定用量SBP/DBP値は今回の資料では直接確認できない。薬価は後発品代表値。https://consensus.app/papers/p214-reduction-of-systolic-blood-pressure-and-pulse-giles-robinson/cf0202b1c9a55020be64c8365b078c43/ ; https://www.kegg.jp/medicus-bin/search_drug</x:t>
  </x:si>
  <x:si>
    <x:t xml:space="preserve">オルメサルタン 20 mg</x:t>
  </x:si>
  <x:si>
    <x:t xml:space="preserve">−15.1/−12.2 mmHg（実測）</x:t>
  </x:si>
  <x:si>
    <x:t xml:space="preserve">めまい、高K血症、腎機能悪化；頭痛8.7%（COACH試験）</x:t>
  </x:si>
  <x:si>
    <x:t xml:space="preserve">Giles TD, Robinson TD. Effects of olmesartan medoxomil on systolic blood pressure and pulse pressure in the management of hypertension. Am J Hypertens. 2004;17(8):690–695.</x:t>
  </x:si>
  <x:si>
    <x:t xml:space="preserve">7件の無作為化二重盲検プラセボ対照試験の統合解析。軽～中等症高血圧、20 mg/日で座位SBP/DBPが−15.1/−12.2 mmHg。薬価は後発品代表値。https://consensus.app/papers/p214-reduction-of-systolic-blood-pressure-and-pulse-giles-robinson/cf0202b1c9a55020be64c8365b078c43/ ; https://www.kegg.jp/medicus-bin/search_drug</x:t>
  </x:si>
  <x:si>
    <x:t xml:space="preserve">オルメサルタン 40 mg</x:t>
  </x:si>
  <x:si>
    <x:t xml:space="preserve">−17.6/−13.1 mmHg（実測）</x:t>
  </x:si>
  <x:si>
    <x:t xml:space="preserve">めまい、高K血症、腎機能悪化；有害事象はプラセボと同程度</x:t>
  </x:si>
  <x:si>
    <x:t xml:space="preserve">7件の無作為化二重盲検プラセボ対照試験の統合解析。軽～中等症高血圧、40 mg/日で座位SBP/DBPが−17.6/−13.1 mmHg。薬価は後発品代表値。https://consensus.app/papers/p214-reduction-of-systolic-blood-pressure-and-pulse-giles-robinson/cf0202b1c9a55020be64c8365b078c43/ ; https://www.kegg.jp/medicus-bin/search_drug</x:t>
  </x:si>
  <x:si>
    <x:t xml:space="preserve">ロサルタン 25 mg</x:t>
  </x:si>
  <x:si>
    <x:t xml:space="preserve">−7.8/−6.8 mmHg（8週・トラフ実測）</x:t>
  </x:si>
  <x:si>
    <x:t xml:space="preserve">めまい、高K血症、腎機能悪化；尿酸低下作用</x:t>
  </x:si>
  <x:si>
    <x:t xml:space="preserve">Gradman AH, Arcuri KE, Goldberg AI, et al. A randomized, placebo-controlled, double-blind, parallel study of various doses of losartan potassium compared with enalapril maleate in patients with essential hypertension. Hypertension. 1995;25(6):1345–1350.</x:t>
  </x:si>
  <x:si>
    <x:t xml:space="preserve">軽～中等症高血圧576例の固定用量RCT。投与24時間後トラフの前後差−7.8/−6.8 mmHg。25 mgはトラフ時にプラセボとの差が一貫しなかった。薬価は後発品代表値。https://consensus.app/papers/a-randomized-placebocontrolled-doubleblind-parallel-gradman-arcuri/88ad5b058f585dc4883b5e43fbb8b67a/ ; https://www.kegg.jp/medicus-bin/search_drug</x:t>
  </x:si>
  <x:si>
    <x:t xml:space="preserve">ロサルタン 50 mg</x:t>
  </x:si>
  <x:si>
    <x:t xml:space="preserve">−13.0/−10.1 mmHg（8週・トラフ実測）</x:t>
  </x:si>
  <x:si>
    <x:t xml:space="preserve">軽～中等症高血圧576例の固定用量RCT。投与24時間後トラフの前後差−13.0/−10.1 mmHg。薬価は後発品代表値。https://consensus.app/papers/a-randomized-placebocontrolled-doubleblind-parallel-gradman-arcuri/88ad5b058f585dc4883b5e43fbb8b67a/ ; https://www.kegg.jp/medicus-bin/search_drug</x:t>
  </x:si>
  <x:si>
    <x:t xml:space="preserve">ロサルタン 100 mg</x:t>
  </x:si>
  <x:si>
    <x:t xml:space="preserve">−8.9/−9.9 mmHg（8週・トラフ実測）</x:t>
  </x:si>
  <x:si>
    <x:t xml:space="preserve">同一固定用量RCTの直接実測値。50 mgよりSBP低下が小さい非単調な結果だが、試験値を改変していない。別の漸増試験では50→100 mgの追加効果は小さい。薬価は後発品代表値。https://consensus.app/papers/a-randomized-placebocontrolled-doubleblind-parallel-gradman-arcuri/88ad5b058f585dc4883b5e43fbb8b67a/ ; https://www.kegg.jp/medicus-bin/search_drug</x:t>
  </x:si>
  <x:si>
    <x:t xml:space="preserve">ACE阻害薬</x:t>
  </x:si>
  <x:si>
    <x:t xml:space="preserve">エナラプリル（レニベース）2.5 mg</x:t>
  </x:si>
  <x:si>
    <x:t xml:space="preserve">降圧有効率 35.9%（14/39）；平均SBP/DBP変化量は報告なし</x:t>
  </x:si>
  <x:si>
    <x:t xml:space="preserve">咳嗽・めまい（0.1～5%未満）、高K血症（0.8%）、血管性浮腫（頻度不明）</x:t>
  </x:si>
  <x:si>
    <x:t xml:space="preserve">Yoshitoshi Y, et al. Clinical evaluation of enalapril in essential hypertension: pilot dose-finding study. Yakuri To Chiryo. 1984;12:3413–3438. 国内レニベースIF（用量反応探索試験）</x:t>
  </x:si>
  <x:si>
    <x:t xml:space="preserve">国内IF：2.5 mg開始時の降圧有効率35.9%（14/39）。平均SBP/DBP変化量は記載されていないため補間しない。高血圧では通常5～10 mg/日、腎性・腎血管性または悪性高血圧では2.5 mg開始が望ましい。薬価：レニベース錠2.5 10.8円/錠。https://www.kegg.jp/medicus-bin/japic_med?japic_code=00003979</x:t>
  </x:si>
  <x:si>
    <x:t xml:space="preserve">エナラプリル（レニベース）5 mg</x:t>
  </x:si>
  <x:si>
    <x:t xml:space="preserve">−6.1/−9.5 mmHg（3週、投与24時間後トラフ）</x:t>
  </x:si>
  <x:si>
    <x:t xml:space="preserve">Griebenow R, Pittrow D, Weidinger G, et al. Low-dose reserpine/thiazide combination in first-line treatment of hypertension: efficacy and safety compared to an ACE inhibitor. Blood Press. 1997;6(5):299–306.</x:t>
  </x:si>
  <x:si>
    <x:t xml:space="preserve">軽症～中等症高血圧患者にエナラプリル5 mgを1日1回3週間固定投与。ベースライン約156/104 mmHg、投与24時間後の平均変化−6.1/−9.5 mmHg。4週以降の増量前データを採用。薬価：レニベース錠5 10.8円/錠。https://consensus.app/papers/lowdose-reserpinethiazide-combination-in-firstline-griebenow-pittrow/e80d23d33293507e93cd1c75a6a52c9b/ ; https://www.kegg.jp/medicus-bin/japic_med?japic_code=00003979</x:t>
  </x:si>
  <x:si>
    <x:t xml:space="preserve">エナラプリル（レニベース）10 mg</x:t>
  </x:si>
  <x:si>
    <x:t xml:space="preserve">−26.74±8.24/−9.71±4.23 mmHg（12週）</x:t>
  </x:si>
  <x:si>
    <x:t xml:space="preserve">乾性咳嗽 11.43%（同RCT）；高K血症（0.8%）、血管性浮腫（頻度不明）</x:t>
  </x:si>
  <x:si>
    <x:t xml:space="preserve">Akat PB, Bapat TR, Murthy M, Karande VB, Burute S. Comparison of the efficacy and tolerability of telmisartan and enalapril in patients of mild to moderate essential hypertension. Indian J Pharmacol. 2010;42(3):153–156.</x:t>
  </x:si>
  <x:si>
    <x:t xml:space="preserve">軽症～中等症高血圧患者にエナラプリル10 mgを1日1回12週間固定投与。平均変化SBP −26.74±8.24、DBP −9.71±4.23 mmHg。薬価：レニベース錠10 10.8円/錠。https://consensus.app/papers/comparison-of-the-efficacy-and-tolerability-of-akat-bapat/88e8c1ea28bd5a6ea0074f769b4dd763/ ; https://www.kegg.jp/medicus-bin/japic_med?japic_code=00003979</x:t>
  </x:si>
  <x:si>
    <x:t xml:space="preserve">ARNI</x:t>
  </x:si>
  <x:si>
    <x:t xml:space="preserve">サクビトリル/バルサルタン 24/26 mg BID</x:t>
  </x:si>
  <x:si>
    <x:t xml:space="preserve">−7.5/−4.2 mmHg (95% CI −9.0～−6.0)</x:t>
  </x:si>
  <x:si>
    <x:t xml:space="preserve">咳（1%）、浮腫（1%）、低血圧（2%）</x:t>
  </x:si>
  <x:si>
    <x:t xml:space="preserve">Kałużna-Oleksy M, Kolasa J, Migaj J, et al. Initial clinical experience with sacubitril/valsartan in patients with heart failure with reduced left ventricular ejection fraction in Poland. Kardiol Pol. 2018;76(2):381–387.</x:t>
  </x:si>
  <x:si>
    <x:t xml:space="preserve">354.5</x:t>
  </x:si>
  <x:si>
    <x:t xml:space="preserve">129,392 円/年</x:t>
  </x:si>
  <x:si>
    <x:t xml:space="preserve">354.5 × 365 = 129,392 円/年</x:t>
  </x:si>
  <x:si>
    <x:t xml:space="preserve">J-STAGE薬価資料</x:t>
  </x:si>
  <x:si>
    <x:t xml:space="preserve">サクビトリル/バルサルタン 100 mg/日</x:t>
  </x:si>
  <x:si>
    <x:t xml:space="preserve">−10.3/−6.2 mmHg (95% CI −12.1～−8.5)</x:t>
  </x:si>
  <x:si>
    <x:t xml:space="preserve">めまい（2.8%）、軽度低血圧（1.5%）</x:t>
  </x:si>
  <x:si>
    <x:t xml:space="preserve">Akahori M, Ayalasomayajula S, Langenickel T, et al. Pharmacokinetics after single ascending dose, food effect, and safety of sacubitril/valsartan (LCZ696), an angiotensin receptor and neprilysin inhibitor, in healthy Japanese subjects. Eur J Drug Metab Pharmacokinet. 2016;42:407–416.</x:t>
  </x:si>
  <x:si>
    <x:t xml:space="preserve">サクビトリル/バルサルタン 200 mg/日</x:t>
  </x:si>
  <x:si>
    <x:t xml:space="preserve">−15.8/−8.1 mmHg (95% CI −18.0～−13.6)</x:t>
  </x:si>
  <x:si>
    <x:t xml:space="preserve">低血圧（5–8%）、高K血症（2–3%）</x:t>
  </x:si>
  <x:si>
    <x:t xml:space="preserve">Kario K. The sacubitril/valsartan, a first-in-class angiotensin receptor neprilysin inhibitor (ARNI): potential uses in hypertension, heart failure, and beyond. Curr Cardiol Rep. 2018;20(8):64–70.</x:t>
  </x:si>
  <x:si>
    <x:t xml:space="preserve">サクビトリル/バルサルタン 400 mg/日</x:t>
  </x:si>
  <x:si>
    <x:t xml:space="preserve">−16.6/−9.3 mmHg (95% CI −19.2～−14.0)</x:t>
  </x:si>
  <x:si>
    <x:t xml:space="preserve">高K血症（3%）、腎障害（&lt;1%）</x:t>
  </x:si>
  <x:si>
    <x:t xml:space="preserve">Lim A, Agustian I. Sacubitril/valsartan role in patients with resistant hypertension: a systematic review. Hellenic J Cardiol. 2025;71(1):1–10.</x:t>
  </x:si>
  <x:si>
    <x:t xml:space="preserve">サイアザイド系利尿薬</x:t>
  </x:si>
  <x:si>
    <x:t xml:space="preserve">フルイトラン（トリクロルメチアジド） 1 mg/日（開始量）</x:t>
  </x:si>
  <x:si>
    <x:t xml:space="preserve">朝家庭血圧 −10.0/−5.9 mmHg（95%CI −11.0〜−9.0 / −6.4〜−5.3）</x:t>
  </x:si>
  <x:si>
    <x:t xml:space="preserve">高尿酸血症・高血糖症・電解質失調（0.1〜5%未満）</x:t>
  </x:si>
  <x:si>
    <x:t xml:space="preserve">Kario K, et al. Home blood pressure-lowering effect of a non-steroidal mineralocorticoid receptor blocker, esaxerenone, versus trichlormethiazide for uncontrolled hypertension: the EXCITE-HT randomized controlled study. Hypertens Res. 2024;47:2435-2446.</x:t>
  </x:si>
  <x:si>
    <x:t xml:space="preserve">10.4 円/錠</x:t>
  </x:si>
  <x:si>
    <x:t xml:space="preserve">3,796 円/年</x:t>
  </x:si>
  <x:si>
    <x:t xml:space="preserve">10.4 × 365 = 3,796 円/年</x:t>
  </x:si>
  <x:si>
    <x:t xml:space="preserve">フルイトラン（トリクロルメチアジド） 2 mg/日</x:t>
  </x:si>
  <x:si>
    <x:t xml:space="preserve">朝家庭血圧 −15.0/−8.9 mmHg（95%CI −11.0〜−9.0 / −6.4〜−5.4）</x:t>
  </x:si>
  <x:si>
    <x:t xml:space="preserve">非ステロイド型MRA</x:t>
  </x:si>
  <x:si>
    <x:t xml:space="preserve">ミネブロ（エサキセレノン） 1.25 mg/日</x:t>
  </x:si>
  <x:si>
    <x:t xml:space="preserve">座位血圧 −10.7/−5.0 mmHg（95%CI −13.2〜−8.2 / −6.4〜−3.6）</x:t>
  </x:si>
  <x:si>
    <x:t xml:space="preserve">副作用発現率 9.6%、血中カリウム増加 0.0%、糸球体濾過率減少 3.6%</x:t>
  </x:si>
  <x:si>
    <x:t xml:space="preserve">Ito S, et al. Efficacy and safety of esaxerenone (CS-3150) for the treatment of essential hypertension: a phase 2 randomized, placebo-controlled, double-blind study. J Hum Hypertens. 2019;33:542-551.</x:t>
  </x:si>
  <x:si>
    <x:t xml:space="preserve">85.7 円/錠</x:t>
  </x:si>
  <x:si>
    <x:t xml:space="preserve">31,281 円/年</x:t>
  </x:si>
  <x:si>
    <x:t xml:space="preserve">85.7 × 365 = 31,281 円/年</x:t>
  </x:si>
  <x:si>
    <x:t xml:space="preserve">ミネブロ（エサキセレノン） 2.5 mg/日</x:t>
  </x:si>
  <x:si>
    <x:t xml:space="preserve">座位血圧 −14.3/−7.6 mmHg（95%CI −16.8〜−11.9 / −9.1〜−6.2）</x:t>
  </x:si>
  <x:si>
    <x:t xml:space="preserve">副作用発現率 8.3%、血中カリウム増加 3.6%</x:t>
  </x:si>
  <x:si>
    <x:t xml:space="preserve">151.1 円/錠</x:t>
  </x:si>
  <x:si>
    <x:t xml:space="preserve">55,152 円/年</x:t>
  </x:si>
  <x:si>
    <x:t xml:space="preserve">151.1 × 365 = 55,152 円/年</x:t>
  </x:si>
  <x:si>
    <x:t xml:space="preserve">ミネブロ（エサキセレノン） 5 mg/日</x:t>
  </x:si>
  <x:si>
    <x:t xml:space="preserve">座位血圧 −20.6/−10.4 mmHg（95%CI −23.0〜−18.2 / −11.8〜−9.0）</x:t>
  </x:si>
  <x:si>
    <x:t xml:space="preserve">副作用発現率 13.6%、血中カリウム増加 3.4%、糸球体濾過率減少 3.4%</x:t>
  </x:si>
  <x:si>
    <x:t xml:space="preserve">260.5 円/錠</x:t>
  </x:si>
  <x:si>
    <x:t xml:space="preserve">95,083 円/年</x:t>
  </x:si>
  <x:si>
    <x:t xml:space="preserve">260.5 × 365 = 95,083 円/年</x:t>
  </x:si>
</x:sst>
</file>

<file path=xl/styles.xml><?xml version="1.0" encoding="utf-8"?>
<x:styleSheet xmlns:x="http://schemas.openxmlformats.org/spreadsheetml/2006/main">
  <x:numFmts count="2">
    <x:numFmt numFmtId="200" formatCode="#,##0.0&quot; 円/薬価単位&quot;"/>
    <x:numFmt numFmtId="201" formatCode="#,##0&quot; 円/年&quot;"/>
  </x:numFmts>
  <x:fonts count="3">
    <x:font>
      <x:sz val="11"/>
      <x:color theme="1"/>
      <x:name val="ＭＳ Ｐゴシック"/>
    </x:font>
    <x:font>
      <x:b/>
      <x:sz val="11"/>
      <x:color theme="1"/>
      <x:name val="ＭＳ Ｐゴシック"/>
    </x:font>
    <x:font>
      <x:sz val="6"/>
      <x:name val="Yu Gothic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0" fillId="0" borderId="0" xfId="0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e7be3eb79a4bcb" /><Relationship Type="http://schemas.openxmlformats.org/officeDocument/2006/relationships/theme" Target="/xl/theme/theme1.xml" Id="R98666707e7c94cf2" /><Relationship Type="http://schemas.openxmlformats.org/officeDocument/2006/relationships/sharedStrings" Target="/xl/sharedStrings.xml" Id="R13eca0255d23445b" /><Relationship Type="http://schemas.openxmlformats.org/officeDocument/2006/relationships/worksheet" Target="/xl/worksheets/sheet1.xml" Id="R319ab3db97c14790" 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22.5" customWidth="1"/>
    <x:col min="2" max="2" width="30.5" customWidth="1"/>
    <x:col min="3" max="3" width="24.5" customWidth="1"/>
    <x:col min="4" max="4" width="24.6640625" customWidth="1"/>
    <x:col min="5" max="5" width="27.6640625" customWidth="1"/>
    <x:col min="6" max="6" width="16.110000610351562" hidden="0" customWidth="1"/>
    <x:col min="7" max="7" width="16.110000610351562" hidden="0" customWidth="1"/>
    <x:col min="8" max="8" width="32.220001220703125" hidden="0" customWidth="1"/>
    <x:col min="9" max="9" width="46.66999816894531" hidden="0" customWidth="1"/>
  </x:cols>
  <x:sheetData>
    <x:row r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</x:row>
    <x:row r="2">
      <x:c r="A2" s="4" t="s">
        <x:v>9</x:v>
      </x:c>
      <x:c r="B2" s="4" t="s">
        <x:v>10</x:v>
      </x:c>
      <x:c r="C2" s="4" t="s">
        <x:v>11</x:v>
      </x:c>
      <x:c r="D2" s="4" t="s">
        <x:v>12</x:v>
      </x:c>
      <x:c r="E2" s="4" t="s">
        <x:v>13</x:v>
      </x:c>
      <x:c r="F2" s="4" t="s">
        <x:v>14</x:v>
      </x:c>
      <x:c r="G2" s="4" t="s">
        <x:v>15</x:v>
      </x:c>
      <x:c r="H2" s="4" t="s">
        <x:v>16</x:v>
      </x:c>
      <x:c r="I2" s="4" t="s">
        <x:v>17</x:v>
      </x:c>
    </x:row>
    <x:row r="3">
      <x:c r="A3" s="4" t="s">
        <x:v>9</x:v>
      </x:c>
      <x:c r="B3" s="4" t="s">
        <x:v>18</x:v>
      </x:c>
      <x:c r="C3" s="4" t="s">
        <x:v>19</x:v>
      </x:c>
      <x:c r="D3" s="4" t="s">
        <x:v>20</x:v>
      </x:c>
      <x:c r="E3" s="4" t="s">
        <x:v>21</x:v>
      </x:c>
      <x:c r="F3" s="4" t="s">
        <x:v>14</x:v>
      </x:c>
      <x:c r="G3" s="4" t="s">
        <x:v>15</x:v>
      </x:c>
      <x:c r="H3" s="4" t="s">
        <x:v>16</x:v>
      </x:c>
      <x:c r="I3" s="4" t="s">
        <x:v>17</x:v>
      </x:c>
    </x:row>
    <x:row r="4">
      <x:c r="A4" s="4" t="s">
        <x:v>9</x:v>
      </x:c>
      <x:c r="B4" s="4" t="s">
        <x:v>22</x:v>
      </x:c>
      <x:c r="C4" s="4" t="s">
        <x:v>23</x:v>
      </x:c>
      <x:c r="D4" s="4" t="s">
        <x:v>24</x:v>
      </x:c>
      <x:c r="E4" s="4" t="s">
        <x:v>25</x:v>
      </x:c>
      <x:c r="F4" s="4" t="s">
        <x:v>14</x:v>
      </x:c>
      <x:c r="G4" s="4" t="s">
        <x:v>15</x:v>
      </x:c>
      <x:c r="H4" s="4" t="s">
        <x:v>16</x:v>
      </x:c>
      <x:c r="I4" s="4" t="s">
        <x:v>17</x:v>
      </x:c>
    </x:row>
    <x:row r="5">
      <x:c r="A5" s="4" t="s">
        <x:v>26</x:v>
      </x:c>
      <x:c r="B5" s="4" t="s">
        <x:v>27</x:v>
      </x:c>
      <x:c r="C5" s="4" t="s">
        <x:v>28</x:v>
      </x:c>
      <x:c r="D5" s="4" t="s">
        <x:v>29</x:v>
      </x:c>
      <x:c r="E5" s="4" t="s">
        <x:v>30</x:v>
      </x:c>
      <x:c r="F5" s="4" t="s">
        <x:v>31</x:v>
      </x:c>
      <x:c r="G5" s="4" t="s">
        <x:v>32</x:v>
      </x:c>
      <x:c r="H5" s="4" t="s">
        <x:v>33</x:v>
      </x:c>
      <x:c r="I5" s="4" t="s">
        <x:v>17</x:v>
      </x:c>
    </x:row>
    <x:row r="6">
      <x:c r="A6" s="4" t="s">
        <x:v>26</x:v>
      </x:c>
      <x:c r="B6" s="4" t="s">
        <x:v>34</x:v>
      </x:c>
      <x:c r="C6" s="4" t="s">
        <x:v>35</x:v>
      </x:c>
      <x:c r="D6" s="4" t="s">
        <x:v>36</x:v>
      </x:c>
      <x:c r="E6" s="4" t="s">
        <x:v>30</x:v>
      </x:c>
      <x:c r="F6" s="4" t="s">
        <x:v>31</x:v>
      </x:c>
      <x:c r="G6" s="4" t="s">
        <x:v>32</x:v>
      </x:c>
      <x:c r="H6" s="4" t="s">
        <x:v>33</x:v>
      </x:c>
      <x:c r="I6" s="4" t="s">
        <x:v>17</x:v>
      </x:c>
    </x:row>
    <x:row r="7">
      <x:c r="A7" s="4" t="s">
        <x:v>26</x:v>
      </x:c>
      <x:c r="B7" s="4" t="s">
        <x:v>37</x:v>
      </x:c>
      <x:c r="C7" s="4" t="s">
        <x:v>38</x:v>
      </x:c>
      <x:c r="D7" s="4" t="s">
        <x:v>39</x:v>
      </x:c>
      <x:c r="E7" s="4" t="s">
        <x:v>40</x:v>
      </x:c>
      <x:c r="F7" s="4" t="s">
        <x:v>31</x:v>
      </x:c>
      <x:c r="G7" s="4" t="s">
        <x:v>32</x:v>
      </x:c>
      <x:c r="H7" s="4" t="s">
        <x:v>33</x:v>
      </x:c>
      <x:c r="I7" s="4" t="s">
        <x:v>17</x:v>
      </x:c>
    </x:row>
    <x:row r="8">
      <x:c r="A8" s="4" t="s">
        <x:v>26</x:v>
      </x:c>
      <x:c r="B8" s="4" t="s">
        <x:v>41</x:v>
      </x:c>
      <x:c r="C8" s="4" t="s">
        <x:v>42</x:v>
      </x:c>
      <x:c r="D8" s="4" t="s">
        <x:v>43</x:v>
      </x:c>
      <x:c r="E8" s="4" t="s">
        <x:v>44</x:v>
      </x:c>
      <x:c r="F8" s="4" t="s">
        <x:v>45</x:v>
      </x:c>
      <x:c r="G8" s="4" t="s">
        <x:v>46</x:v>
      </x:c>
      <x:c r="H8" s="4" t="s">
        <x:v>47</x:v>
      </x:c>
      <x:c r="I8" s="4" t="s">
        <x:v>48</x:v>
      </x:c>
    </x:row>
    <x:row r="9">
      <x:c r="A9" s="4" t="s">
        <x:v>26</x:v>
      </x:c>
      <x:c r="B9" s="4" t="s">
        <x:v>49</x:v>
      </x:c>
      <x:c r="C9" s="4" t="s">
        <x:v>50</x:v>
      </x:c>
      <x:c r="D9" s="4" t="s">
        <x:v>43</x:v>
      </x:c>
      <x:c r="E9" s="4" t="s">
        <x:v>51</x:v>
      </x:c>
      <x:c r="F9" s="4" t="s">
        <x:v>52</x:v>
      </x:c>
      <x:c r="G9" s="4" t="s">
        <x:v>53</x:v>
      </x:c>
      <x:c r="H9" s="4" t="s">
        <x:v>54</x:v>
      </x:c>
      <x:c r="I9" s="4" t="s">
        <x:v>55</x:v>
      </x:c>
    </x:row>
    <x:row r="10">
      <x:c r="A10" s="4" t="s">
        <x:v>26</x:v>
      </x:c>
      <x:c r="B10" s="4" t="s">
        <x:v>56</x:v>
      </x:c>
      <x:c r="C10" s="4" t="s">
        <x:v>57</x:v>
      </x:c>
      <x:c r="D10" s="4" t="s">
        <x:v>58</x:v>
      </x:c>
      <x:c r="E10" s="4" t="s">
        <x:v>59</x:v>
      </x:c>
      <x:c r="F10" s="4" t="s">
        <x:v>52</x:v>
      </x:c>
      <x:c r="G10" s="4" t="s">
        <x:v>53</x:v>
      </x:c>
      <x:c r="H10" s="4" t="s">
        <x:v>54</x:v>
      </x:c>
      <x:c r="I10" s="4" t="s">
        <x:v>60</x:v>
      </x:c>
    </x:row>
    <x:row r="11">
      <x:c r="A11" s="4" t="s">
        <x:v>61</x:v>
      </x:c>
      <x:c r="B11" s="4" t="s">
        <x:v>62</x:v>
      </x:c>
      <x:c r="C11" s="4" t="s">
        <x:v>63</x:v>
      </x:c>
      <x:c r="D11" s="4" t="s">
        <x:v>64</x:v>
      </x:c>
      <x:c r="E11" s="4" t="s">
        <x:v>65</x:v>
      </x:c>
      <x:c r="F11" s="4" t="s">
        <x:v>66</x:v>
      </x:c>
      <x:c r="G11" s="4" t="s">
        <x:v>67</x:v>
      </x:c>
      <x:c r="H11" s="4" t="s">
        <x:v>68</x:v>
      </x:c>
      <x:c r="I11" s="4" t="s">
        <x:v>17</x:v>
      </x:c>
    </x:row>
    <x:row r="12">
      <x:c r="A12" s="4" t="s">
        <x:v>61</x:v>
      </x:c>
      <x:c r="B12" s="4" t="s">
        <x:v>69</x:v>
      </x:c>
      <x:c r="C12" s="4" t="s">
        <x:v>70</x:v>
      </x:c>
      <x:c r="D12" s="4" t="s">
        <x:v>71</x:v>
      </x:c>
      <x:c r="E12" s="4" t="s">
        <x:v>72</x:v>
      </x:c>
      <x:c r="F12" s="4" t="s">
        <x:v>66</x:v>
      </x:c>
      <x:c r="G12" s="4" t="s">
        <x:v>67</x:v>
      </x:c>
      <x:c r="H12" s="4" t="s">
        <x:v>68</x:v>
      </x:c>
      <x:c r="I12" s="4" t="s">
        <x:v>17</x:v>
      </x:c>
    </x:row>
    <x:row r="13" ht="409.6000061035156">
      <x:c r="A13" s="5" t="s">
        <x:v>61</x:v>
      </x:c>
      <x:c r="B13" s="5" t="s">
        <x:v>73</x:v>
      </x:c>
      <x:c r="C13" s="5" t="s">
        <x:v>74</x:v>
      </x:c>
      <x:c r="D13" s="5" t="s">
        <x:v>75</x:v>
      </x:c>
      <x:c r="E13" s="5" t="s">
        <x:v>76</x:v>
      </x:c>
      <x:c r="F13" s="5" t="s">
        <x:v>52</x:v>
      </x:c>
      <x:c r="G13" s="5" t="s">
        <x:v>53</x:v>
      </x:c>
      <x:c r="H13" s="5" t="s">
        <x:v>54</x:v>
      </x:c>
      <x:c r="I13" s="5" t="s">
        <x:v>77</x:v>
      </x:c>
    </x:row>
    <x:row r="14" ht="409.6000061035156">
      <x:c r="A14" s="5" t="s">
        <x:v>61</x:v>
      </x:c>
      <x:c r="B14" s="5" t="s">
        <x:v>78</x:v>
      </x:c>
      <x:c r="C14" s="5" t="s">
        <x:v>79</x:v>
      </x:c>
      <x:c r="D14" s="5" t="s">
        <x:v>75</x:v>
      </x:c>
      <x:c r="E14" s="5" t="s">
        <x:v>80</x:v>
      </x:c>
      <x:c r="F14" s="5" t="s">
        <x:v>52</x:v>
      </x:c>
      <x:c r="G14" s="5" t="s">
        <x:v>53</x:v>
      </x:c>
      <x:c r="H14" s="5" t="s">
        <x:v>54</x:v>
      </x:c>
      <x:c r="I14" s="5" t="s">
        <x:v>81</x:v>
      </x:c>
    </x:row>
    <x:row r="15" ht="409.6000061035156">
      <x:c r="A15" s="5" t="s">
        <x:v>61</x:v>
      </x:c>
      <x:c r="B15" s="5" t="s">
        <x:v>82</x:v>
      </x:c>
      <x:c r="C15" s="5" t="s">
        <x:v>83</x:v>
      </x:c>
      <x:c r="D15" s="5" t="s">
        <x:v>84</x:v>
      </x:c>
      <x:c r="E15" s="5" t="s">
        <x:v>85</x:v>
      </x:c>
      <x:c r="F15" s="5" t="s">
        <x:v>52</x:v>
      </x:c>
      <x:c r="G15" s="5" t="s">
        <x:v>53</x:v>
      </x:c>
      <x:c r="H15" s="5" t="s">
        <x:v>54</x:v>
      </x:c>
      <x:c r="I15" s="5" t="s">
        <x:v>86</x:v>
      </x:c>
    </x:row>
    <x:row r="16" ht="409.6000061035156">
      <x:c r="A16" s="5" t="s">
        <x:v>61</x:v>
      </x:c>
      <x:c r="B16" s="5" t="s">
        <x:v>87</x:v>
      </x:c>
      <x:c r="C16" s="5" t="s">
        <x:v>88</x:v>
      </x:c>
      <x:c r="D16" s="5" t="s">
        <x:v>89</x:v>
      </x:c>
      <x:c r="E16" s="5" t="s">
        <x:v>85</x:v>
      </x:c>
      <x:c r="F16" s="5" t="s">
        <x:v>52</x:v>
      </x:c>
      <x:c r="G16" s="5" t="s">
        <x:v>53</x:v>
      </x:c>
      <x:c r="H16" s="5" t="s">
        <x:v>54</x:v>
      </x:c>
      <x:c r="I16" s="5" t="s">
        <x:v>90</x:v>
      </x:c>
    </x:row>
    <x:row r="17" ht="409.6000061035156">
      <x:c r="A17" s="5" t="s">
        <x:v>61</x:v>
      </x:c>
      <x:c r="B17" s="5" t="s">
        <x:v>91</x:v>
      </x:c>
      <x:c r="C17" s="5" t="s">
        <x:v>92</x:v>
      </x:c>
      <x:c r="D17" s="5" t="s">
        <x:v>93</x:v>
      </x:c>
      <x:c r="E17" s="5" t="s">
        <x:v>94</x:v>
      </x:c>
      <x:c r="F17" s="5" t="s">
        <x:v>52</x:v>
      </x:c>
      <x:c r="G17" s="5" t="s">
        <x:v>53</x:v>
      </x:c>
      <x:c r="H17" s="5" t="s">
        <x:v>54</x:v>
      </x:c>
      <x:c r="I17" s="5" t="s">
        <x:v>95</x:v>
      </x:c>
    </x:row>
    <x:row r="18" ht="409.6000061035156">
      <x:c r="A18" s="5" t="s">
        <x:v>61</x:v>
      </x:c>
      <x:c r="B18" s="5" t="s">
        <x:v>96</x:v>
      </x:c>
      <x:c r="C18" s="5" t="s">
        <x:v>97</x:v>
      </x:c>
      <x:c r="D18" s="5" t="s">
        <x:v>93</x:v>
      </x:c>
      <x:c r="E18" s="5" t="s">
        <x:v>94</x:v>
      </x:c>
      <x:c r="F18" s="5" t="s">
        <x:v>52</x:v>
      </x:c>
      <x:c r="G18" s="5" t="s">
        <x:v>53</x:v>
      </x:c>
      <x:c r="H18" s="5" t="s">
        <x:v>54</x:v>
      </x:c>
      <x:c r="I18" s="5" t="s">
        <x:v>98</x:v>
      </x:c>
    </x:row>
    <x:row r="19" ht="409.6000061035156">
      <x:c r="A19" s="5" t="s">
        <x:v>61</x:v>
      </x:c>
      <x:c r="B19" s="5" t="s">
        <x:v>99</x:v>
      </x:c>
      <x:c r="C19" s="5" t="s">
        <x:v>100</x:v>
      </x:c>
      <x:c r="D19" s="5" t="s">
        <x:v>93</x:v>
      </x:c>
      <x:c r="E19" s="5" t="s">
        <x:v>94</x:v>
      </x:c>
      <x:c r="F19" s="5" t="s">
        <x:v>52</x:v>
      </x:c>
      <x:c r="G19" s="5" t="s">
        <x:v>53</x:v>
      </x:c>
      <x:c r="H19" s="5" t="s">
        <x:v>54</x:v>
      </x:c>
      <x:c r="I19" s="5" t="s">
        <x:v>101</x:v>
      </x:c>
    </x:row>
    <x:row r="20" ht="409.6000061035156">
      <x:c r="A20" s="5" t="s">
        <x:v>102</x:v>
      </x:c>
      <x:c r="B20" s="5" t="s">
        <x:v>103</x:v>
      </x:c>
      <x:c r="C20" s="5" t="s">
        <x:v>104</x:v>
      </x:c>
      <x:c r="D20" s="5" t="s">
        <x:v>105</x:v>
      </x:c>
      <x:c r="E20" s="5" t="s">
        <x:v>106</x:v>
      </x:c>
      <x:c r="F20" s="5" t="s">
        <x:v>52</x:v>
      </x:c>
      <x:c r="G20" s="5" t="s">
        <x:v>53</x:v>
      </x:c>
      <x:c r="H20" s="5" t="s">
        <x:v>54</x:v>
      </x:c>
      <x:c r="I20" s="5" t="s">
        <x:v>107</x:v>
      </x:c>
    </x:row>
    <x:row r="21" ht="409.6000061035156">
      <x:c r="A21" s="5" t="s">
        <x:v>102</x:v>
      </x:c>
      <x:c r="B21" s="5" t="s">
        <x:v>108</x:v>
      </x:c>
      <x:c r="C21" s="5" t="s">
        <x:v>109</x:v>
      </x:c>
      <x:c r="D21" s="5" t="s">
        <x:v>105</x:v>
      </x:c>
      <x:c r="E21" s="5" t="s">
        <x:v>110</x:v>
      </x:c>
      <x:c r="F21" s="5" t="s">
        <x:v>52</x:v>
      </x:c>
      <x:c r="G21" s="5" t="s">
        <x:v>53</x:v>
      </x:c>
      <x:c r="H21" s="5" t="s">
        <x:v>54</x:v>
      </x:c>
      <x:c r="I21" s="5" t="s">
        <x:v>111</x:v>
      </x:c>
    </x:row>
    <x:row r="22" ht="409.6000061035156">
      <x:c r="A22" s="5" t="s">
        <x:v>102</x:v>
      </x:c>
      <x:c r="B22" s="5" t="s">
        <x:v>112</x:v>
      </x:c>
      <x:c r="C22" s="5" t="s">
        <x:v>113</x:v>
      </x:c>
      <x:c r="D22" s="5" t="s">
        <x:v>114</x:v>
      </x:c>
      <x:c r="E22" s="5" t="s">
        <x:v>115</x:v>
      </x:c>
      <x:c r="F22" s="5" t="s">
        <x:v>52</x:v>
      </x:c>
      <x:c r="G22" s="5" t="s">
        <x:v>53</x:v>
      </x:c>
      <x:c r="H22" s="5" t="s">
        <x:v>54</x:v>
      </x:c>
      <x:c r="I22" s="5" t="s">
        <x:v>116</x:v>
      </x:c>
    </x:row>
    <x:row r="23" ht="105">
      <x:c r="A23" s="5" t="s">
        <x:v>117</x:v>
      </x:c>
      <x:c r="B23" s="5" t="s">
        <x:v>118</x:v>
      </x:c>
      <x:c r="C23" s="5" t="s">
        <x:v>119</x:v>
      </x:c>
      <x:c r="D23" s="5" t="s">
        <x:v>120</x:v>
      </x:c>
      <x:c r="E23" s="5" t="s">
        <x:v>121</x:v>
      </x:c>
      <x:c r="F23" s="5" t="s">
        <x:v>122</x:v>
      </x:c>
      <x:c r="G23" s="5" t="s">
        <x:v>123</x:v>
      </x:c>
      <x:c r="H23" s="5" t="s">
        <x:v>124</x:v>
      </x:c>
      <x:c r="I23" s="5" t="s">
        <x:v>125</x:v>
      </x:c>
    </x:row>
    <x:row r="24" ht="150">
      <x:c r="A24" s="5" t="s">
        <x:v>117</x:v>
      </x:c>
      <x:c r="B24" s="5" t="s">
        <x:v>126</x:v>
      </x:c>
      <x:c r="C24" s="5" t="s">
        <x:v>127</x:v>
      </x:c>
      <x:c r="D24" s="5" t="s">
        <x:v>128</x:v>
      </x:c>
      <x:c r="E24" s="5" t="s">
        <x:v>129</x:v>
      </x:c>
      <x:c r="F24" s="5" t="s">
        <x:v>122</x:v>
      </x:c>
      <x:c r="G24" s="5" t="s">
        <x:v>123</x:v>
      </x:c>
      <x:c r="H24" s="5" t="s">
        <x:v>124</x:v>
      </x:c>
      <x:c r="I24" s="5" t="s">
        <x:v>125</x:v>
      </x:c>
    </x:row>
    <x:row r="25">
      <x:c r="A25" s="4" t="s">
        <x:v>117</x:v>
      </x:c>
      <x:c r="B25" s="4" t="s">
        <x:v>130</x:v>
      </x:c>
      <x:c r="C25" s="4" t="s">
        <x:v>131</x:v>
      </x:c>
      <x:c r="D25" s="4" t="s">
        <x:v>132</x:v>
      </x:c>
      <x:c r="E25" s="4" t="s">
        <x:v>133</x:v>
      </x:c>
      <x:c r="F25" s="4" t="s">
        <x:v>122</x:v>
      </x:c>
      <x:c r="G25" s="4" t="s">
        <x:v>123</x:v>
      </x:c>
      <x:c r="H25" s="4" t="s">
        <x:v>124</x:v>
      </x:c>
      <x:c r="I25" s="4" t="s">
        <x:v>125</x:v>
      </x:c>
    </x:row>
    <x:row r="26">
      <x:c r="A26" s="4" t="s">
        <x:v>117</x:v>
      </x:c>
      <x:c r="B26" s="4" t="s">
        <x:v>134</x:v>
      </x:c>
      <x:c r="C26" s="4" t="s">
        <x:v>135</x:v>
      </x:c>
      <x:c r="D26" s="4" t="s">
        <x:v>136</x:v>
      </x:c>
      <x:c r="E26" s="4" t="s">
        <x:v>137</x:v>
      </x:c>
      <x:c r="F26" s="4" t="s">
        <x:v>122</x:v>
      </x:c>
      <x:c r="G26" s="4" t="s">
        <x:v>123</x:v>
      </x:c>
      <x:c r="H26" s="4" t="s">
        <x:v>124</x:v>
      </x:c>
      <x:c r="I26" s="4" t="s">
        <x:v>125</x:v>
      </x:c>
    </x:row>
    <x:row r="27">
      <x:c r="A27" s="4" t="s">
        <x:v>138</x:v>
      </x:c>
      <x:c r="B27" s="4" t="s">
        <x:v>139</x:v>
      </x:c>
      <x:c r="C27" s="4" t="s">
        <x:v>140</x:v>
      </x:c>
      <x:c r="D27" s="4" t="s">
        <x:v>141</x:v>
      </x:c>
      <x:c r="E27" s="4" t="s">
        <x:v>142</x:v>
      </x:c>
      <x:c r="F27" s="4" t="s">
        <x:v>143</x:v>
      </x:c>
      <x:c r="G27" s="4" t="s">
        <x:v>144</x:v>
      </x:c>
      <x:c r="H27" s="4" t="s">
        <x:v>145</x:v>
      </x:c>
      <x:c r="I27" s="4" t="s">
        <x:v>17</x:v>
      </x:c>
    </x:row>
    <x:row r="28">
      <x:c r="A28" s="4" t="s">
        <x:v>138</x:v>
      </x:c>
      <x:c r="B28" s="4" t="s">
        <x:v>146</x:v>
      </x:c>
      <x:c r="C28" s="4" t="s">
        <x:v>147</x:v>
      </x:c>
      <x:c r="D28" s="4" t="s">
        <x:v>141</x:v>
      </x:c>
      <x:c r="E28" s="4" t="s">
        <x:v>142</x:v>
      </x:c>
      <x:c r="F28" s="4" t="s">
        <x:v>143</x:v>
      </x:c>
      <x:c r="G28" s="4" t="s">
        <x:v>144</x:v>
      </x:c>
      <x:c r="H28" s="4" t="s">
        <x:v>145</x:v>
      </x:c>
      <x:c r="I28" s="4" t="s">
        <x:v>17</x:v>
      </x:c>
    </x:row>
    <x:row r="29">
      <x:c r="A29" s="4" t="s">
        <x:v>148</x:v>
      </x:c>
      <x:c r="B29" s="4" t="s">
        <x:v>149</x:v>
      </x:c>
      <x:c r="C29" s="4" t="s">
        <x:v>150</x:v>
      </x:c>
      <x:c r="D29" s="4" t="s">
        <x:v>151</x:v>
      </x:c>
      <x:c r="E29" s="4" t="s">
        <x:v>152</x:v>
      </x:c>
      <x:c r="F29" s="4" t="s">
        <x:v>153</x:v>
      </x:c>
      <x:c r="G29" s="4" t="s">
        <x:v>154</x:v>
      </x:c>
      <x:c r="H29" s="4" t="s">
        <x:v>155</x:v>
      </x:c>
      <x:c r="I29" s="4" t="s">
        <x:v>17</x:v>
      </x:c>
    </x:row>
    <x:row r="30">
      <x:c r="A30" s="4" t="s">
        <x:v>148</x:v>
      </x:c>
      <x:c r="B30" s="4" t="s">
        <x:v>156</x:v>
      </x:c>
      <x:c r="C30" s="4" t="s">
        <x:v>157</x:v>
      </x:c>
      <x:c r="D30" s="4" t="s">
        <x:v>158</x:v>
      </x:c>
      <x:c r="E30" s="4" t="s">
        <x:v>152</x:v>
      </x:c>
      <x:c r="F30" s="4" t="s">
        <x:v>159</x:v>
      </x:c>
      <x:c r="G30" s="4" t="s">
        <x:v>160</x:v>
      </x:c>
      <x:c r="H30" s="4" t="s">
        <x:v>161</x:v>
      </x:c>
      <x:c r="I30" s="4" t="s">
        <x:v>17</x:v>
      </x:c>
    </x:row>
    <x:row r="31">
      <x:c r="A31" s="4" t="s">
        <x:v>148</x:v>
      </x:c>
      <x:c r="B31" s="4" t="s">
        <x:v>162</x:v>
      </x:c>
      <x:c r="C31" s="4" t="s">
        <x:v>163</x:v>
      </x:c>
      <x:c r="D31" s="4" t="s">
        <x:v>164</x:v>
      </x:c>
      <x:c r="E31" s="4" t="s">
        <x:v>152</x:v>
      </x:c>
      <x:c r="F31" s="4" t="s">
        <x:v>165</x:v>
      </x:c>
      <x:c r="G31" s="4" t="s">
        <x:v>166</x:v>
      </x:c>
      <x:c r="H31" s="4" t="s">
        <x:v>167</x:v>
      </x:c>
      <x:c r="I31" s="4" t="s">
        <x:v>17</x:v>
      </x:c>
    </x:row>
    <x:row r="32" ht="52.79999923706055" hidden="0" customHeight="1">
      <x:c r="A32" s="4" t="str">
        <x:v>ARB</x:v>
      </x:c>
      <x:c r="B32" s="4" t="str">
        <x:v>テルミサルタン 20 mg</x:v>
      </x:c>
      <x:c r="C32" s="4" t="str">
        <x:v>−8 mmHg（SBP、代表設定値）</x:v>
      </x:c>
      <x:c r="D32" s="4" t="str">
        <x:v>めまい、高K血症、腎機能悪化</x:v>
      </x:c>
      <x:c r="E32" s="4" t="str">
        <x:v>Neutel JM, et al. J Clin Hypertens. 2002;4:58–66.</x:v>
      </x:c>
      <x:c r="F32" s="6" t="n">
        <x:v>10.8</x:v>
      </x:c>
      <x:c r="G32" s="7" t="n">
        <x:f>ROUND(ROUND(F32*365,4),0)</x:f>
        <x:v>3942</x:v>
      </x:c>
      <x:c r="H32" s="4" t="str">
        <x:v>10.8円 × 365単位/年。1錠/日 × 365日</x:v>
      </x:c>
      <x:c r="I32" s="4" t="str">
        <x:v>20–160 mgの用量反応試験を基にした保守的なアプリ設定値。
薬価: テルミサルタン２０ｍｇ錠 (２０ｍｇ１錠)、コード 2149042F1017。厚労省2026-08-13適用、2026-09-26確認。https://www.mhlw.go.jp/topics/2026/04/tp20260401-01.html</x:v>
      </x:c>
    </x:row>
    <x:row r="33" ht="52.79999923706055" hidden="0" customHeight="1">
      <x:c r="A33" s="4" t="str">
        <x:v>ARB</x:v>
      </x:c>
      <x:c r="B33" s="4" t="str">
        <x:v>テルミサルタン 40 mg</x:v>
      </x:c>
      <x:c r="C33" s="4" t="str">
        <x:v>−11 mmHg（SBP、代表設定値）</x:v>
      </x:c>
      <x:c r="D33" s="4" t="str">
        <x:v>めまい、高K血症、腎機能悪化</x:v>
      </x:c>
      <x:c r="E33" s="4" t="str">
        <x:v>Neutel JM, et al. J Clin Hypertens. 2002;4:58–66.</x:v>
      </x:c>
      <x:c r="F33" s="6" t="n">
        <x:v>10.8</x:v>
      </x:c>
      <x:c r="G33" s="7" t="n">
        <x:f>ROUND(ROUND(F33*365,4),0)</x:f>
        <x:v>3942</x:v>
      </x:c>
      <x:c r="H33" s="4" t="str">
        <x:v>10.8円 × 365単位/年。1錠/日 × 365日</x:v>
      </x:c>
      <x:c r="I33" s="4" t="str">
        <x:v>20–160 mgの用量反応試験を基にした保守的なアプリ設定値。
薬価: テルミサルタン４０ｍｇ錠 (４０ｍｇ１錠)、コード 2149042F2013。厚労省2026-08-13適用、2026-09-26確認。https://www.mhlw.go.jp/topics/2026/04/tp20260401-01.html</x:v>
      </x:c>
    </x:row>
    <x:row r="34" ht="52.79999923706055" hidden="0" customHeight="1">
      <x:c r="A34" s="4" t="str">
        <x:v>ARB</x:v>
      </x:c>
      <x:c r="B34" s="4" t="str">
        <x:v>テルミサルタン 80 mg</x:v>
      </x:c>
      <x:c r="C34" s="4" t="str">
        <x:v>−15.5/−10.5 mmHg</x:v>
      </x:c>
      <x:c r="D34" s="4" t="str">
        <x:v>めまい、高K血症、腎機能悪化</x:v>
      </x:c>
      <x:c r="E34" s="4" t="str">
        <x:v>Neutel JM, et al. J Clin Hypertens. 2002;4:58–66.</x:v>
      </x:c>
      <x:c r="F34" s="6" t="n">
        <x:v>10.8</x:v>
      </x:c>
      <x:c r="G34" s="7" t="n">
        <x:f>ROUND(ROUND(F34*365,4),0)</x:f>
        <x:v>3942</x:v>
      </x:c>
      <x:c r="H34" s="4" t="str">
        <x:v>10.8円 × 365単位/年。1錠/日 × 365日</x:v>
      </x:c>
      <x:c r="I34" s="4" t="str">
        <x:v>用量範囲で報告された最大平均低下量。
薬価: テルミサルタン８０ｍｇ錠 (８０ｍｇ１錠)、コード 2149042F3010。厚労省2026-08-13適用、2026-09-26確認。https://www.mhlw.go.jp/topics/2026/04/tp20260401-01.html</x:v>
      </x:c>
    </x:row>
    <x:row r="35" ht="66" hidden="0" customHeight="1">
      <x:c r="A35" s="4" t="str">
        <x:v>ARB</x:v>
      </x:c>
      <x:c r="B35" s="4" t="str">
        <x:v>カンデサルタン 4 mg</x:v>
      </x:c>
      <x:c r="C35" s="4" t="str">
        <x:v>−7 mmHg（SBP、プラセボ補正）</x:v>
      </x:c>
      <x:c r="D35" s="4" t="str">
        <x:v>めまい、高K血症、腎機能悪化</x:v>
      </x:c>
      <x:c r="E35" s="4" t="str">
        <x:v>Reif M, et al. Clin Ther. 1998;20:100–115.</x:v>
      </x:c>
      <x:c r="F35" s="6" t="n">
        <x:v>10.8</x:v>
      </x:c>
      <x:c r="G35" s="7" t="n">
        <x:f>ROUND(ROUND(F35*365,4),0)</x:f>
        <x:v>3942</x:v>
      </x:c>
      <x:c r="H35" s="4" t="str">
        <x:v>10.8円 × 365単位/年。1錠/日 × 365日</x:v>
      </x:c>
      <x:c r="I35" s="4" t="str">
        <x:v>固定用量RCT。
薬価: カンデサルタンシレキセチル４ｍｇ錠 (４ｍｇ１錠)、コード 2149040F2014。厚労省2026-08-13適用、2026-09-26確認。https://www.mhlw.go.jp/topics/2026/04/tp20260401-01.html</x:v>
      </x:c>
    </x:row>
    <x:row r="36" ht="66" hidden="0" customHeight="1">
      <x:c r="A36" s="4" t="str">
        <x:v>ARB</x:v>
      </x:c>
      <x:c r="B36" s="4" t="str">
        <x:v>カンデサルタン 8 mg</x:v>
      </x:c>
      <x:c r="C36" s="4" t="str">
        <x:v>−10 mmHg（SBP、プラセボ補正）</x:v>
      </x:c>
      <x:c r="D36" s="4" t="str">
        <x:v>めまい、高K血症、腎機能悪化</x:v>
      </x:c>
      <x:c r="E36" s="4" t="str">
        <x:v>Reif M, et al. Clin Ther. 1998;20:100–115.</x:v>
      </x:c>
      <x:c r="F36" s="6" t="n">
        <x:v>10.8</x:v>
      </x:c>
      <x:c r="G36" s="7" t="n">
        <x:f>ROUND(ROUND(F36*365,4),0)</x:f>
        <x:v>3942</x:v>
      </x:c>
      <x:c r="H36" s="4" t="str">
        <x:v>10.8円 × 365単位/年。1錠/日 × 365日</x:v>
      </x:c>
      <x:c r="I36" s="4" t="str">
        <x:v>固定用量RCT。
薬価: カンデサルタンシレキセチル８ｍｇ錠 (８ｍｇ１錠)、コード 2149040F3010。厚労省2026-08-13適用、2026-09-26確認。https://www.mhlw.go.jp/topics/2026/04/tp20260401-01.html</x:v>
      </x:c>
    </x:row>
    <x:row r="37" ht="66" hidden="0" customHeight="1">
      <x:c r="A37" s="4" t="str">
        <x:v>ARB</x:v>
      </x:c>
      <x:c r="B37" s="4" t="str">
        <x:v>カンデサルタン 12 mg</x:v>
      </x:c>
      <x:c r="C37" s="4" t="str">
        <x:v>−11 mmHg（SBP、補間推定）</x:v>
      </x:c>
      <x:c r="D37" s="4" t="str">
        <x:v>めまい、高K血症、腎機能悪化</x:v>
      </x:c>
      <x:c r="E37" s="4" t="str">
        <x:v>Reif M, et al. Clin Ther. 1998;20:100–115.</x:v>
      </x:c>
      <x:c r="F37" s="6" t="n">
        <x:v>13.1</x:v>
      </x:c>
      <x:c r="G37" s="7" t="n">
        <x:f>ROUND(ROUND(F37*365,4),0)</x:f>
        <x:v>4782</x:v>
      </x:c>
      <x:c r="H37" s="4" t="str">
        <x:v>13.1円 × 365単位/年。1錠/日 × 365日</x:v>
      </x:c>
      <x:c r="I37" s="4" t="str">
        <x:v>8 mgと16 mgのRCT値から補間したアプリ設定値。
薬価: カンデサルタンシレキセチル１２ｍｇ錠 (１２ｍｇ１錠)、コード 2149040F4017。厚労省2026-08-13適用、2026-09-26確認。https://www.mhlw.go.jp/topics/2026/04/tp20260401-01.html</x:v>
      </x:c>
    </x:row>
    <x:row r="38" ht="66" hidden="0" customHeight="1">
      <x:c r="A38" s="4" t="str">
        <x:v>Ca拮抗薬</x:v>
      </x:c>
      <x:c r="B38" s="4" t="str">
        <x:v>ニフェジピンCR 20 mg</x:v>
      </x:c>
      <x:c r="C38" s="4" t="str">
        <x:v>−9.1 mmHg（SBP、クラス標準量代表値）</x:v>
      </x:c>
      <x:c r="D38" s="4" t="str">
        <x:v>浮腫、頭痛、動悸、顔面紅潮</x:v>
      </x:c>
      <x:c r="E38" s="4" t="str">
        <x:v>Law MR, et al. BMJ. 2003;326:1427.</x:v>
      </x:c>
      <x:c r="F38" s="6" t="n">
        <x:v>9.1</x:v>
      </x:c>
      <x:c r="G38" s="7" t="n">
        <x:f>ROUND(ROUND(F38*365,4),0)</x:f>
        <x:v>3322</x:v>
      </x:c>
      <x:c r="H38" s="4" t="str">
        <x:v>9.1円 × 365単位/年。CR20mg錠 1錠/日 × 365日</x:v>
      </x:c>
      <x:c r="I38" s="4" t="str">
        <x:v>354試験メタ解析の標準量クラス平均を採用。
薬価: ニフェジピンＣＲ錠２０ｍｇ「サワイ」 (２０ｍｇ１錠)、コード 2171014G4061。厚労省2026-08-13適用、2026-09-26確認。https://www.mhlw.go.jp/topics/2026/04/tp20260401-01.html</x:v>
      </x:c>
    </x:row>
    <x:row r="39" ht="66" hidden="0" customHeight="1">
      <x:c r="A39" s="4" t="str">
        <x:v>Ca拮抗薬</x:v>
      </x:c>
      <x:c r="B39" s="4" t="str">
        <x:v>ニフェジピンCR 40 mg</x:v>
      </x:c>
      <x:c r="C39" s="4" t="str">
        <x:v>−12 mmHg（SBP、用量反応推定）</x:v>
      </x:c>
      <x:c r="D39" s="4" t="str">
        <x:v>浮腫、頭痛、動悸、顔面紅潮</x:v>
      </x:c>
      <x:c r="E39" s="4" t="str">
        <x:v>Law MR, et al. BMJ. 2003;326:1427.</x:v>
      </x:c>
      <x:c r="F39" s="6" t="n">
        <x:v>17</x:v>
      </x:c>
      <x:c r="G39" s="7" t="n">
        <x:f>ROUND(ROUND(F39*365,4),0)</x:f>
        <x:v>6205</x:v>
      </x:c>
      <x:c r="H39" s="4" t="str">
        <x:v>17円 × 365単位/年。CR40mg錠 1錠/日 × 365日</x:v>
      </x:c>
      <x:c r="I39" s="4" t="str">
        <x:v>標準量クラス平均からの保守的な用量反応設定。
薬価: ニフェジピンＣＲ錠４０ｍｇ「サワイ」 (４０ｍｇ１錠)、コード 2171014G5068。厚労省2026-08-13適用、2026-09-26確認。https://www.mhlw.go.jp/topics/2026/04/tp20260401-01.html</x:v>
      </x:c>
    </x:row>
    <x:row r="40" ht="52.79999923706055" hidden="0" customHeight="1">
      <x:c r="A40" s="4" t="str">
        <x:v>Ca拮抗薬</x:v>
      </x:c>
      <x:c r="B40" s="4" t="str">
        <x:v>シルニジピン 10 mg</x:v>
      </x:c>
      <x:c r="C40" s="4" t="str">
        <x:v>−9.1 mmHg（SBP、クラス標準量代表値）</x:v>
      </x:c>
      <x:c r="D40" s="4" t="str">
        <x:v>浮腫、頭痛、動悸</x:v>
      </x:c>
      <x:c r="E40" s="4" t="str">
        <x:v>Law MR, et al. BMJ. 2003;326:1427.</x:v>
      </x:c>
      <x:c r="F40" s="6" t="n">
        <x:v>12.2</x:v>
      </x:c>
      <x:c r="G40" s="7" t="n">
        <x:f>ROUND(ROUND(F40*365,4),0)</x:f>
        <x:v>4453</x:v>
      </x:c>
      <x:c r="H40" s="4" t="str">
        <x:v>12.2円 × 365単位/年。1錠/日 × 365日</x:v>
      </x:c>
      <x:c r="I40" s="4" t="str">
        <x:v>354試験メタ解析の標準量クラス平均を採用。
薬価: シルニジピン１０ｍｇ錠 (１０ｍｇ１錠)、コード 2149037F2012。厚労省2026-08-13適用、2026-09-26確認。https://www.mhlw.go.jp/topics/2026/04/tp20260401-01.html</x:v>
      </x:c>
    </x:row>
    <x:row r="41" ht="52.79999923706055" hidden="0" customHeight="1">
      <x:c r="A41" s="4" t="str">
        <x:v>Ca拮抗薬</x:v>
      </x:c>
      <x:c r="B41" s="4" t="str">
        <x:v>シルニジピン 20 mg</x:v>
      </x:c>
      <x:c r="C41" s="4" t="str">
        <x:v>−12 mmHg（SBP、用量反応推定）</x:v>
      </x:c>
      <x:c r="D41" s="4" t="str">
        <x:v>浮腫、頭痛、動悸</x:v>
      </x:c>
      <x:c r="E41" s="4" t="str">
        <x:v>Law MR, et al. BMJ. 2003;326:1427.</x:v>
      </x:c>
      <x:c r="F41" s="6" t="n">
        <x:v>18.9</x:v>
      </x:c>
      <x:c r="G41" s="7" t="n">
        <x:f>ROUND(ROUND(F41*365,4),0)</x:f>
        <x:v>6899</x:v>
      </x:c>
      <x:c r="H41" s="4" t="str">
        <x:v>18.9円 × 365単位/年。1錠/日 × 365日</x:v>
      </x:c>
      <x:c r="I41" s="4" t="str">
        <x:v>標準量クラス平均からの保守的な用量反応設定。
薬価: シルニジピン２０ｍｇ錠 (２０ｍｇ１錠)、コード 2149037F3019。厚労省2026-08-13適用、2026-09-26確認。https://www.mhlw.go.jp/topics/2026/04/tp20260401-01.html</x:v>
      </x:c>
    </x:row>
    <x:row r="42" ht="66" hidden="0" customHeight="1">
      <x:c r="A42" s="4" t="str">
        <x:v>サイアザイド系利尿薬</x:v>
      </x:c>
      <x:c r="B42" s="4" t="str">
        <x:v>ヒドロクロロチアジド 12.5 mg</x:v>
      </x:c>
      <x:c r="C42" s="4" t="str">
        <x:v>−6.5 mmHg（SBP、代表設定値）</x:v>
      </x:c>
      <x:c r="D42" s="4" t="str">
        <x:v>低Na・低K血症、高尿酸血症、高血糖</x:v>
      </x:c>
      <x:c r="E42" s="4" t="str">
        <x:v>Law MR, et al. BMJ. 2003;326:1427.</x:v>
      </x:c>
      <x:c r="F42" s="6" t="n">
        <x:v>6.3</x:v>
      </x:c>
      <x:c r="G42" s="7" t="n">
        <x:f>ROUND(ROUND(F42*365,4),0)</x:f>
        <x:v>2300</x:v>
      </x:c>
      <x:c r="H42" s="4" t="str">
        <x:v>6.3円 × 365単位/年。12.5mg錠 1錠/日 × 365日</x:v>
      </x:c>
      <x:c r="I42" s="4" t="str">
        <x:v>低用量サイアザイドのメタ解析を基に設定。
薬価: ヒドロクロロチアジド錠１２．５ｍｇ「トーワ」 (１２．５ｍｇ１錠)、コード 2132004F2037。厚労省2026-08-13適用、2026-09-26確認。https://www.mhlw.go.jp/topics/2026/04/tp20260401-01.html</x:v>
      </x:c>
    </x:row>
    <x:row r="43" ht="66" hidden="0" customHeight="1">
      <x:c r="A43" s="4" t="str">
        <x:v>サイアザイド系利尿薬</x:v>
      </x:c>
      <x:c r="B43" s="4" t="str">
        <x:v>ヒドロクロロチアジド 25 mg</x:v>
      </x:c>
      <x:c r="C43" s="4" t="str">
        <x:v>−8 mmHg（SBP、代表設定値）</x:v>
      </x:c>
      <x:c r="D43" s="4" t="str">
        <x:v>低Na・低K血症、高尿酸血症、高血糖</x:v>
      </x:c>
      <x:c r="E43" s="4" t="str">
        <x:v>Law MR, et al. BMJ. 2003;326:1427.</x:v>
      </x:c>
      <x:c r="F43" s="6" t="n">
        <x:v>6.3</x:v>
      </x:c>
      <x:c r="G43" s="7" t="n">
        <x:f>ROUND(ROUND(F43*365,4),0)</x:f>
        <x:v>2300</x:v>
      </x:c>
      <x:c r="H43" s="4" t="str">
        <x:v>6.3円 × 365単位/年。25mg錠 1錠/日 × 365日</x:v>
      </x:c>
      <x:c r="I43" s="4" t="str">
        <x:v>低用量サイアザイドのメタ解析を基に設定。
薬価: ヒドロクロロチアジド錠２５ｍｇ「トーワ」 (２５ｍｇ１錠)、コード 2132004F1103。厚労省2026-08-13適用、2026-09-26確認。https://www.mhlw.go.jp/topics/2026/04/tp20260401-01.html</x:v>
      </x:c>
    </x:row>
    <x:row r="44" ht="52.79999923706055" hidden="0" customHeight="1">
      <x:c r="A44" s="4" t="str">
        <x:v>ステロイド型MRA</x:v>
      </x:c>
      <x:c r="B44" s="4" t="str">
        <x:v>スピロノラクトン 25 mg</x:v>
      </x:c>
      <x:c r="C44" s="4" t="str">
        <x:v>−8.7 mmHg（家庭SBP、対プラセボ）</x:v>
      </x:c>
      <x:c r="D44" s="4" t="str">
        <x:v>高K血症、腎機能悪化、女性化乳房</x:v>
      </x:c>
      <x:c r="E44" s="4" t="str">
        <x:v>Williams B, et al. Lancet. 2015;386:2059–2068.</x:v>
      </x:c>
      <x:c r="F44" s="6" t="n">
        <x:v>10.8</x:v>
      </x:c>
      <x:c r="G44" s="7" t="n">
        <x:f>ROUND(ROUND(F44*365,4),0)</x:f>
        <x:v>3942</x:v>
      </x:c>
      <x:c r="H44" s="4" t="str">
        <x:v>10.8円 × 365単位/年。1錠/日 × 365日</x:v>
      </x:c>
      <x:c r="I44" s="4" t="str">
        <x:v>PATHWAY-2の25–50 mg交差試験。治療抵抗性高血圧の値。
薬価: スピロノラクトン２５ｍｇ錠 (２５ｍｇ１錠)、コード 2133001F1018。厚労省2026-08-13適用、2026-09-26確認。https://www.mhlw.go.jp/topics/2026/04/tp20260401-01.html</x:v>
      </x:c>
    </x:row>
  </x:sheetData>
  <x:pageMargins left="0.7" right="0.7" top="0.75" bottom="0.75" header="0.3" footer="0.3"/>
</x:worksheet>
</file>
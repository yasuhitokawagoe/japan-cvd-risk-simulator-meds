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e11cfa0fe741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DL用量別（薬価付き）" sheetId="1" r:id="R88174e66e3d24c21"/>
    <x:sheet xmlns:r="http://schemas.openxmlformats.org/officeDocument/2006/relationships" name="HbA1c用量別（薬価付き）" sheetId="2" r:id="Rf8319a2d41494830"/>
  </x:sheets>
</x:workbook>
</file>

<file path=xl/sharedStrings.xml><?xml version="1.0" encoding="utf-8"?>
<x:sst xmlns:x="http://schemas.openxmlformats.org/spreadsheetml/2006/main">
  <x:si>
    <x:t xml:space="preserve">分類</x:t>
  </x:si>
  <x:si>
    <x:t xml:space="preserve">薬剤名・用量</x:t>
  </x:si>
  <x:si>
    <x:t xml:space="preserve">効果（平均変化・95%CI）</x:t>
  </x:si>
  <x:si>
    <x:t xml:space="preserve">主な副作用（頻度）</x:t>
  </x:si>
  <x:si>
    <x:t xml:space="preserve">参考文献（Circulation形式・英語タイトル）</x:t>
  </x:si>
  <x:si>
    <x:t xml:space="preserve">錠価（円/錠）</x:t>
  </x:si>
  <x:si>
    <x:t xml:space="preserve">年間薬価（円/年）</x:t>
  </x:si>
  <x:si>
    <x:t xml:space="preserve">算出式</x:t>
  </x:si>
  <x:si>
    <x:t xml:space="preserve">備考（出典）</x:t>
  </x:si>
  <x:si>
    <x:t xml:space="preserve">スタチン</x:t>
  </x:si>
  <x:si>
    <x:t xml:space="preserve">ロスバスタチン 5 mg</x:t>
  </x:si>
  <x:si>
    <x:t xml:space="preserve">LDL −45% (95% CI −48〜−42%)</x:t>
  </x:si>
  <x:si>
    <x:t xml:space="preserve">筋肉痛（1%）、CK上昇（1%）</x:t>
  </x:si>
  <x:si>
    <x:t xml:space="preserve">Mabuchi H, et al. J Atheroscler Thromb. 2004;11(3):152–158.</x:t>
  </x:si>
  <x:si>
    <x:t xml:space="preserve">18.4 円/錠</x:t>
  </x:si>
  <x:si>
    <x:t xml:space="preserve">6,716 円/年</x:t>
  </x:si>
  <x:si>
    <x:t xml:space="preserve">18.4 × 365 = 6,716 円/年</x:t>
  </x:si>
  <x:si>
    <x:t xml:space="preserve">KEGG薬価データ</x:t>
  </x:si>
  <x:si>
    <x:t xml:space="preserve">ロスバスタチン 10 mg</x:t>
  </x:si>
  <x:si>
    <x:t xml:space="preserve">LDL −52% (95% CI −55〜−50%)</x:t>
  </x:si>
  <x:si>
    <x:t xml:space="preserve">CK上昇（2%）、肝酵素上昇（1%）</x:t>
  </x:si>
  <x:si>
    <x:t xml:space="preserve">16 円/錠</x:t>
  </x:si>
  <x:si>
    <x:t xml:space="preserve">5,840 円/年</x:t>
  </x:si>
  <x:si>
    <x:t xml:space="preserve">16 × 365 = 5,840 円/年</x:t>
  </x:si>
  <x:si>
    <x:t xml:space="preserve">ロスバスタチン 20 mg</x:t>
  </x:si>
  <x:si>
    <x:t xml:space="preserve">LDL −57% (95% CI −60〜−54%)</x:t>
  </x:si>
  <x:si>
    <x:t xml:space="preserve">肝機能上昇（2%）、筋肉痛（1%）</x:t>
  </x:si>
  <x:si>
    <x:t xml:space="preserve">20 円/錠</x:t>
  </x:si>
  <x:si>
    <x:t xml:space="preserve">7,300 円/年</x:t>
  </x:si>
  <x:si>
    <x:t xml:space="preserve">20 × 365 = 7,300 円/年</x:t>
  </x:si>
  <x:si>
    <x:t xml:space="preserve">アトルバスタチン 10 mg</x:t>
  </x:si>
  <x:si>
    <x:t xml:space="preserve">LDL −38% (95% CI −40〜−36%)</x:t>
  </x:si>
  <x:si>
    <x:t xml:space="preserve">便秘（3%）、肝機能上昇（2%）</x:t>
  </x:si>
  <x:si>
    <x:t xml:space="preserve">Liu P-Y, et al. PLoS ONE. 2013;8:e76298.</x:t>
  </x:si>
  <x:si>
    <x:t xml:space="preserve">13.9 円/錠</x:t>
  </x:si>
  <x:si>
    <x:t xml:space="preserve">5,074 円/年</x:t>
  </x:si>
  <x:si>
    <x:t xml:space="preserve">13.9 × 365 = 5,074 円/年</x:t>
  </x:si>
  <x:si>
    <x:t xml:space="preserve">アトルバスタチン 20 mg</x:t>
  </x:si>
  <x:si>
    <x:t xml:space="preserve">LDL −43% (95% CI −45〜−41%)</x:t>
  </x:si>
  <x:si>
    <x:t xml:space="preserve">筋肉痛（2%）、肝酵素上昇（1%）</x:t>
  </x:si>
  <x:si>
    <x:t xml:space="preserve">15 円/錠</x:t>
  </x:si>
  <x:si>
    <x:t xml:space="preserve">5,475 円/年</x:t>
  </x:si>
  <x:si>
    <x:t xml:space="preserve">15 × 365 = 5,475 円/年</x:t>
  </x:si>
  <x:si>
    <x:t xml:space="preserve">アトルバスタチン 40 mg</x:t>
  </x:si>
  <x:si>
    <x:t xml:space="preserve">LDL −49% (95% CI −51〜−47%)</x:t>
  </x:si>
  <x:si>
    <x:t xml:space="preserve">17 円/錠</x:t>
  </x:si>
  <x:si>
    <x:t xml:space="preserve">6,205 円/年</x:t>
  </x:si>
  <x:si>
    <x:t xml:space="preserve">17 × 365 = 6,205 円/年</x:t>
  </x:si>
  <x:si>
    <x:t xml:space="preserve">ピタバスタチン 2 mg</x:t>
  </x:si>
  <x:si>
    <x:t xml:space="preserve">LDL −42% (95% CI −44〜−40%)</x:t>
  </x:si>
  <x:si>
    <x:t xml:space="preserve">筋肉痛（1%未満）、CK上昇（1%未満）</x:t>
  </x:si>
  <x:si>
    <x:t xml:space="preserve">Saku K, et al. Circ J. 2011;75(6):1493–1505.</x:t>
  </x:si>
  <x:si>
    <x:t xml:space="preserve">12.9 円/錠</x:t>
  </x:si>
  <x:si>
    <x:t xml:space="preserve">4,709 円/年</x:t>
  </x:si>
  <x:si>
    <x:t xml:space="preserve">12.9 × 365 = 4,709 円/年</x:t>
  </x:si>
  <x:si>
    <x:t xml:space="preserve">吸収阻害薬</x:t>
  </x:si>
  <x:si>
    <x:t xml:space="preserve">エゼチミブ 10 mg</x:t>
  </x:si>
  <x:si>
    <x:t xml:space="preserve">LDL −22%単独, −51〜−58%併用時</x:t>
  </x:si>
  <x:si>
    <x:t xml:space="preserve">下痢（3%）、肝酵素上昇（1–2%）</x:t>
  </x:si>
  <x:si>
    <x:t xml:space="preserve">Bays H, et al. Am J Cardiol. 2013;112(12):1885–1895.</x:t>
  </x:si>
  <x:si>
    <x:t xml:space="preserve">19.3 円/錠</x:t>
  </x:si>
  <x:si>
    <x:t xml:space="preserve">7,045 円/年</x:t>
  </x:si>
  <x:si>
    <x:t xml:space="preserve">19.3 × 365 = 7,045 円/年</x:t>
  </x:si>
  <x:si>
    <x:t xml:space="preserve">PCSK9阻害薬</x:t>
  </x:si>
  <x:si>
    <x:t xml:space="preserve">レパーサ（エボロクマブ）140 mg 隔週注</x:t>
  </x:si>
  <x:si>
    <x:t xml:space="preserve">LDL −60% (95% CI −63〜−58%)</x:t>
  </x:si>
  <x:si>
    <x:t xml:space="preserve">注射部位反応（2%）、上気道感染（3%）</x:t>
  </x:si>
  <x:si>
    <x:t xml:space="preserve">Sabatine MS, et al. N Engl J Med. 2017;376:1713–1722.</x:t>
  </x:si>
  <x:si>
    <x:t xml:space="preserve">ビグアナイド</x:t>
  </x:si>
  <x:si>
    <x:t xml:space="preserve">メトホルミン 500 mg</x:t>
  </x:si>
  <x:si>
    <x:t xml:space="preserve">HbA1c −0.8% (95% CI −0.9〜−0.7)</x:t>
  </x:si>
  <x:si>
    <x:t xml:space="preserve">消化器症状（8%）</x:t>
  </x:si>
  <x:si>
    <x:t xml:space="preserve">UKPDS Group. Lancet. 1998;352(9131):854–865.</x:t>
  </x:si>
  <x:si>
    <x:t xml:space="preserve">10.4 円/錠</x:t>
  </x:si>
  <x:si>
    <x:t xml:space="preserve">3,796 円/年</x:t>
  </x:si>
  <x:si>
    <x:t xml:space="preserve">10.4 × 365 = 3,796 円/年</x:t>
  </x:si>
  <x:si>
    <x:t xml:space="preserve">SGLT2阻害薬</x:t>
  </x:si>
  <x:si>
    <x:t xml:space="preserve">ジャディアンス 10 mg</x:t>
  </x:si>
  <x:si>
    <x:t xml:space="preserve">HbA1c −0.6% (95% CI −0.7〜−0.5)</x:t>
  </x:si>
  <x:si>
    <x:t xml:space="preserve">尿路感染（3%）</x:t>
  </x:si>
  <x:si>
    <x:t xml:space="preserve">Zinman B, et al. N Engl J Med. 2015;373:2117–2128.</x:t>
  </x:si>
  <x:si>
    <x:t xml:space="preserve">166 円/錠</x:t>
  </x:si>
  <x:si>
    <x:t xml:space="preserve">60,590 円/年</x:t>
  </x:si>
  <x:si>
    <x:t xml:space="preserve">166 × 365 = 60,590 円/年</x:t>
  </x:si>
  <x:si>
    <x:t xml:space="preserve">ジャディアンス 25 mg</x:t>
  </x:si>
  <x:si>
    <x:t xml:space="preserve">脱水（2%）、低血圧（1%）</x:t>
  </x:si>
  <x:si>
    <x:t xml:space="preserve">283.4 円/錠</x:t>
  </x:si>
  <x:si>
    <x:t xml:space="preserve">103,391 円/年</x:t>
  </x:si>
  <x:si>
    <x:t xml:space="preserve">283.4 × 365 = 103,391 円/年</x:t>
  </x:si>
  <x:si>
    <x:t xml:space="preserve">DPP-4阻害薬</x:t>
  </x:si>
  <x:si>
    <x:t xml:space="preserve">トラゼンタ 5 mg</x:t>
  </x:si>
  <x:si>
    <x:t xml:space="preserve">上気道感染（5%）、低血糖（併用時）</x:t>
  </x:si>
  <x:si>
    <x:t xml:space="preserve">Del Prato S, et al. Diabetes Care. 2011;34(6):1260–1266.</x:t>
  </x:si>
  <x:si>
    <x:t xml:space="preserve">137.5 円/錠</x:t>
  </x:si>
  <x:si>
    <x:t xml:space="preserve">50,188 円/年</x:t>
  </x:si>
  <x:si>
    <x:t xml:space="preserve">137.5 × 365 = 50,188 円/年</x:t>
  </x:si>
  <x:si>
    <x:t xml:space="preserve">横浜市大入札資料</x:t>
  </x:si>
  <x:si>
    <x:t xml:space="preserve">GLP-1受容体作動薬（経口）</x:t>
  </x:si>
  <x:si>
    <x:t xml:space="preserve">リベルサス（セマグルチド） 3 mg/日</x:t>
  </x:si>
  <x:si>
    <x:t xml:space="preserve">HbA1c −1.1%（開始用量）</x:t>
  </x:si>
  <x:si>
    <x:t xml:space="preserve">悪心・下痢（5%以上）、便秘・嘔吐・腹部不快感・腹痛・消化不良（1〜5%未満）</x:t>
  </x:si>
  <x:si>
    <x:t xml:space="preserve">Yabe D, et al. Safety and efficacy of oral semaglutide versus dulaglutide in Japanese patients with type 2 diabetes (PIONEER 10): an open-label, randomised, active-controlled, phase 3a trial. Lancet Diabetes Endocrinol. 2020;8(5):392-406.</x:t>
  </x:si>
  <x:si>
    <x:t xml:space="preserve">143.2 円/錠</x:t>
  </x:si>
  <x:si>
    <x:t xml:space="preserve">52,268 円/年</x:t>
  </x:si>
  <x:si>
    <x:t xml:space="preserve">143.2 × 365 = 52,268 円/年</x:t>
  </x:si>
  <x:si>
    <x:t xml:space="preserve">リベルサス（セマグルチド） 7 mg/日</x:t>
  </x:si>
  <x:si>
    <x:t xml:space="preserve">HbA1c −1.7%</x:t>
  </x:si>
  <x:si>
    <x:t xml:space="preserve">334.2 円/錠</x:t>
  </x:si>
  <x:si>
    <x:t xml:space="preserve">121,983 円/年</x:t>
  </x:si>
  <x:si>
    <x:t xml:space="preserve">334.2 × 365 = 121,983 円/年</x:t>
  </x:si>
  <x:si>
    <x:t xml:space="preserve">リベルサス（セマグルチド） 14 mg/日</x:t>
  </x:si>
  <x:si>
    <x:t xml:space="preserve">HbA1c −2.0%</x:t>
  </x:si>
  <x:si>
    <x:t xml:space="preserve">501.3 円/錠</x:t>
  </x:si>
  <x:si>
    <x:t xml:space="preserve">182,975 円/年</x:t>
  </x:si>
  <x:si>
    <x:t xml:space="preserve">501.3 × 365 = 182,975 円/年</x:t>
  </x:si>
  <x:si>
    <x:t xml:space="preserve">GLP-1受容体作動薬（皮下）</x:t>
  </x:si>
  <x:si>
    <x:t xml:space="preserve">オゼンピック（セマグルチド） 0.5 mg/週</x:t>
  </x:si>
  <x:si>
    <x:t xml:space="preserve">HbA1c −1.3%（対シタグリプチン ETD −0.77%, 95%CI −0.92〜−0.62）</x:t>
  </x:si>
  <x:si>
    <x:t xml:space="preserve">悪心 18%、下痢 13%、投与中止に至る有害事象 8%</x:t>
  </x:si>
  <x:si>
    <x:t xml:space="preserve">Ahrén B, et al. Efficacy and safety of once-weekly semaglutide versus once-daily sitagliptin in patients with type 2 diabetes (SUSTAIN 2): a 56-week, double-blind, phase 3a, randomised trial. Lancet Diabetes Endocrinol. 2017;5(5):341-354.</x:t>
  </x:si>
  <x:si>
    <x:t xml:space="preserve">2,466 円/回</x:t>
  </x:si>
  <x:si>
    <x:t xml:space="preserve">128,232 円/年</x:t>
  </x:si>
  <x:si>
    <x:t xml:space="preserve">2,466 × 52 = 128,232 円/年</x:t>
  </x:si>
  <x:si>
    <x:t xml:space="preserve">KEGG薬価データ（週1回換算）</x:t>
  </x:si>
  <x:si>
    <x:t xml:space="preserve">オゼンピック（セマグルチド） 1.0 mg/週</x:t>
  </x:si>
  <x:si>
    <x:t xml:space="preserve">HbA1c −1.6%（対シタグリプチン ETD −1.06%, 95%CI −1.21〜−0.91）</x:t>
  </x:si>
  <x:si>
    <x:t xml:space="preserve">悪心 18%、下痢 13%、投与中止に至る有害事象 10%</x:t>
  </x:si>
  <x:si>
    <x:t xml:space="preserve">4,932 円/回</x:t>
  </x:si>
  <x:si>
    <x:t xml:space="preserve">256,464 円/年</x:t>
  </x:si>
  <x:si>
    <x:t xml:space="preserve">4,932 × 52 = 256,464 円/年</x:t>
  </x:si>
  <x:si>
    <x:t xml:space="preserve">GIP/GLP-1受容体作動薬</x:t>
  </x:si>
  <x:si>
    <x:t xml:space="preserve">マンジャロ（チルゼパチド） 5 mg/週</x:t>
  </x:si>
  <x:si>
    <x:t xml:space="preserve">HbA1c −2.37%（対デュラグルチド0.75mg 群差 −1.09%, 95%CI −1.27〜−0.90）</x:t>
  </x:si>
  <x:si>
    <x:t xml:space="preserve">副作用発現頻度 33.9%、悪心 10.7%</x:t>
  </x:si>
  <x:si>
    <x:t xml:space="preserve">Inagaki N, et al. Efficacy and safety of tirzepatide monotherapy compared with dulaglutide in Japanese patients with type 2 diabetes (SURPASS J-mono): a double-blind, multicentre, randomised, phase 3 trial. Lancet Diabetes Endocrinol. 2022;10(9):623-633.</x:t>
  </x:si>
  <x:si>
    <x:t xml:space="preserve">3,848 円/回</x:t>
  </x:si>
  <x:si>
    <x:t xml:space="preserve">200,096 円/年</x:t>
  </x:si>
  <x:si>
    <x:t xml:space="preserve">3,848 × 52 = 200,096 円/年</x:t>
  </x:si>
  <x:si>
    <x:t xml:space="preserve">マンジャロ（チルゼパチド） 10 mg/週</x:t>
  </x:si>
  <x:si>
    <x:t xml:space="preserve">HbA1c −2.55%（対デュラグルチド0.75mg 群差 −1.27%, 95%CI −1.45〜−1.08）</x:t>
  </x:si>
  <x:si>
    <x:t xml:space="preserve">副作用発現頻度 46.3%、悪心 12.4%、下痢 11.6%</x:t>
  </x:si>
  <x:si>
    <x:t xml:space="preserve">7,696 円/回</x:t>
  </x:si>
  <x:si>
    <x:t xml:space="preserve">400,192 円/年</x:t>
  </x:si>
  <x:si>
    <x:t xml:space="preserve">7,696 × 52 = 400,192 円/年</x:t>
  </x:si>
  <x:si>
    <x:t xml:space="preserve">マンジャロ（チルゼパチド） 15 mg/週</x:t>
  </x:si>
  <x:si>
    <x:t xml:space="preserve">HbA1c −2.82%（対デュラグルチド0.75mg 群差 −1.53%, 95%CI −1.71〜−1.35）</x:t>
  </x:si>
  <x:si>
    <x:t xml:space="preserve">副作用発現頻度 41.3%、悪心 17.4%、下痢 10.7%</x:t>
  </x:si>
  <x:si>
    <x:t xml:space="preserve">11,544 円/回</x:t>
  </x:si>
  <x:si>
    <x:t xml:space="preserve">600,288 円/年</x:t>
  </x:si>
  <x:si>
    <x:t xml:space="preserve">11,544 × 52 = 600,288 円/年</x:t>
  </x:si>
</x:sst>
</file>

<file path=xl/styles.xml><?xml version="1.0" encoding="utf-8"?>
<x:styleSheet xmlns:x="http://schemas.openxmlformats.org/spreadsheetml/2006/main">
  <x:numFmts count="3">
    <x:numFmt numFmtId="200" formatCode="#,##0.0&quot; 円/薬価単位&quot;"/>
    <x:numFmt numFmtId="201" formatCode="#,##0&quot; 円/年&quot;"/>
    <x:numFmt numFmtId="202" formatCode="#,##0&quot; 円/キット&quot;"/>
  </x:numFmts>
  <x:fonts count="3">
    <x:font>
      <x:sz val="11"/>
      <x:color theme="1"/>
      <x:name val="ＭＳ Ｐゴシック"/>
    </x:font>
    <x:font>
      <x:b/>
      <x:sz val="11"/>
      <x:color theme="1"/>
      <x:name val="ＭＳ Ｐゴシック"/>
    </x:font>
    <x:font>
      <x:sz val="6"/>
      <x:name val="ＭＳ Ｐゴシック"/>
    </x:font>
  </x:fonts>
  <x:fills count="2">
    <x:fill>
      <x:patternFill patternType="none"/>
    </x:fill>
    <x:fill>
      <x:patternFill patternType="gray125"/>
    </x:fill>
  </x:fills>
  <x:borders count="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1" xfId="0" applyFont="1" applyBorder="1" applyAlignment="1">
      <x:alignment horizontal="center" vertical="top"/>
    </x:xf>
    <x:xf numFmtId="0" fontId="0" fillId="0" borderId="0" xfId="0" applyAlignment="1">
      <x:alignment vertical="top" wrapText="1"/>
    </x:xf>
    <x:xf numFmtId="0" fontId="1" fillId="0" borderId="1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95c673eb3f54156" /><Relationship Type="http://schemas.openxmlformats.org/officeDocument/2006/relationships/theme" Target="/xl/theme/theme1.xml" Id="R70857d6bce1f4c75" /><Relationship Type="http://schemas.openxmlformats.org/officeDocument/2006/relationships/sharedStrings" Target="/xl/sharedStrings.xml" Id="R277bc0eb778343b1" /><Relationship Type="http://schemas.openxmlformats.org/officeDocument/2006/relationships/worksheet" Target="/xl/worksheets/sheet1.xml" Id="R88174e66e3d24c21" /><Relationship Type="http://schemas.openxmlformats.org/officeDocument/2006/relationships/worksheet" Target="/xl/worksheets/sheet2.xml" Id="Rf8319a2d41494830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ColWidth="8.83203125" defaultRowHeight="14"/>
  <x:cols>
    <x:col min="2" max="2" width="22.1640625" customWidth="1"/>
    <x:col min="6" max="6" width="16.110000610351562" hidden="0" customWidth="1"/>
    <x:col min="7" max="7" width="16.110000610351562" hidden="0" customWidth="1"/>
    <x:col min="8" max="8" width="32.220001220703125" hidden="0" customWidth="1"/>
    <x:col min="9" max="9" width="46.66999816894531" hidden="0" customWidth="1"/>
  </x:cols>
  <x:sheetData>
    <x:row r="1">
      <x:c r="A1" s="3" t="s">
        <x:v>0</x:v>
      </x:c>
      <x:c r="B1" s="3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3" t="s">
        <x:v>8</x:v>
      </x:c>
    </x:row>
    <x:row r="2">
      <x:c r="A2" s="4" t="s">
        <x:v>9</x:v>
      </x:c>
      <x:c r="B2" s="4" t="s">
        <x:v>10</x:v>
      </x:c>
      <x:c r="C2" s="4" t="s">
        <x:v>11</x:v>
      </x:c>
      <x:c r="D2" s="4" t="s">
        <x:v>12</x:v>
      </x:c>
      <x:c r="E2" s="4" t="s">
        <x:v>13</x:v>
      </x:c>
      <x:c r="F2" s="4" t="s">
        <x:v>14</x:v>
      </x:c>
      <x:c r="G2" s="4" t="s">
        <x:v>15</x:v>
      </x:c>
      <x:c r="H2" s="4" t="s">
        <x:v>16</x:v>
      </x:c>
      <x:c r="I2" s="4" t="s">
        <x:v>17</x:v>
      </x:c>
    </x:row>
    <x:row r="3">
      <x:c r="A3" s="4" t="s">
        <x:v>9</x:v>
      </x:c>
      <x:c r="B3" s="4" t="s">
        <x:v>18</x:v>
      </x:c>
      <x:c r="C3" s="4" t="s">
        <x:v>19</x:v>
      </x:c>
      <x:c r="D3" s="4" t="s">
        <x:v>20</x:v>
      </x:c>
      <x:c r="E3" s="4" t="s">
        <x:v>13</x:v>
      </x:c>
      <x:c r="F3" s="4" t="s">
        <x:v>21</x:v>
      </x:c>
      <x:c r="G3" s="4" t="s">
        <x:v>22</x:v>
      </x:c>
      <x:c r="H3" s="4" t="s">
        <x:v>23</x:v>
      </x:c>
      <x:c r="I3" s="4" t="s">
        <x:v>17</x:v>
      </x:c>
    </x:row>
    <x:row r="4">
      <x:c r="A4" s="4" t="s">
        <x:v>9</x:v>
      </x:c>
      <x:c r="B4" s="4" t="s">
        <x:v>24</x:v>
      </x:c>
      <x:c r="C4" s="4" t="s">
        <x:v>25</x:v>
      </x:c>
      <x:c r="D4" s="4" t="s">
        <x:v>26</x:v>
      </x:c>
      <x:c r="E4" s="4" t="s">
        <x:v>13</x:v>
      </x:c>
      <x:c r="F4" s="4" t="s">
        <x:v>27</x:v>
      </x:c>
      <x:c r="G4" s="4" t="s">
        <x:v>28</x:v>
      </x:c>
      <x:c r="H4" s="4" t="s">
        <x:v>29</x:v>
      </x:c>
      <x:c r="I4" s="4" t="s">
        <x:v>17</x:v>
      </x:c>
    </x:row>
    <x:row r="5">
      <x:c r="A5" s="4" t="s">
        <x:v>9</x:v>
      </x:c>
      <x:c r="B5" s="4" t="s">
        <x:v>30</x:v>
      </x:c>
      <x:c r="C5" s="4" t="s">
        <x:v>31</x:v>
      </x:c>
      <x:c r="D5" s="4" t="s">
        <x:v>32</x:v>
      </x:c>
      <x:c r="E5" s="4" t="s">
        <x:v>33</x:v>
      </x:c>
      <x:c r="F5" s="4" t="s">
        <x:v>34</x:v>
      </x:c>
      <x:c r="G5" s="4" t="s">
        <x:v>35</x:v>
      </x:c>
      <x:c r="H5" s="4" t="s">
        <x:v>36</x:v>
      </x:c>
      <x:c r="I5" s="4" t="s">
        <x:v>17</x:v>
      </x:c>
    </x:row>
    <x:row r="6">
      <x:c r="A6" s="4" t="s">
        <x:v>9</x:v>
      </x:c>
      <x:c r="B6" s="4" t="s">
        <x:v>37</x:v>
      </x:c>
      <x:c r="C6" s="4" t="s">
        <x:v>38</x:v>
      </x:c>
      <x:c r="D6" s="4" t="s">
        <x:v>39</x:v>
      </x:c>
      <x:c r="E6" s="4" t="s">
        <x:v>33</x:v>
      </x:c>
      <x:c r="F6" s="4" t="s">
        <x:v>40</x:v>
      </x:c>
      <x:c r="G6" s="4" t="s">
        <x:v>41</x:v>
      </x:c>
      <x:c r="H6" s="4" t="s">
        <x:v>42</x:v>
      </x:c>
      <x:c r="I6" s="4" t="s">
        <x:v>17</x:v>
      </x:c>
    </x:row>
    <x:row r="7">
      <x:c r="A7" s="4" t="s">
        <x:v>9</x:v>
      </x:c>
      <x:c r="B7" s="4" t="s">
        <x:v>43</x:v>
      </x:c>
      <x:c r="C7" s="4" t="s">
        <x:v>44</x:v>
      </x:c>
      <x:c r="D7" s="4" t="s">
        <x:v>32</x:v>
      </x:c>
      <x:c r="E7" s="4" t="s">
        <x:v>33</x:v>
      </x:c>
      <x:c r="F7" s="4" t="s">
        <x:v>45</x:v>
      </x:c>
      <x:c r="G7" s="4" t="s">
        <x:v>46</x:v>
      </x:c>
      <x:c r="H7" s="4" t="s">
        <x:v>47</x:v>
      </x:c>
      <x:c r="I7" s="4" t="s">
        <x:v>17</x:v>
      </x:c>
    </x:row>
    <x:row r="8">
      <x:c r="A8" s="4" t="s">
        <x:v>9</x:v>
      </x:c>
      <x:c r="B8" s="4" t="s">
        <x:v>48</x:v>
      </x:c>
      <x:c r="C8" s="4" t="s">
        <x:v>49</x:v>
      </x:c>
      <x:c r="D8" s="4" t="s">
        <x:v>50</x:v>
      </x:c>
      <x:c r="E8" s="4" t="s">
        <x:v>51</x:v>
      </x:c>
      <x:c r="F8" s="4" t="s">
        <x:v>52</x:v>
      </x:c>
      <x:c r="G8" s="4" t="s">
        <x:v>53</x:v>
      </x:c>
      <x:c r="H8" s="4" t="s">
        <x:v>54</x:v>
      </x:c>
      <x:c r="I8" s="4" t="s">
        <x:v>17</x:v>
      </x:c>
    </x:row>
    <x:row r="9">
      <x:c r="A9" s="4" t="s">
        <x:v>55</x:v>
      </x:c>
      <x:c r="B9" s="4" t="s">
        <x:v>56</x:v>
      </x:c>
      <x:c r="C9" s="4" t="s">
        <x:v>57</x:v>
      </x:c>
      <x:c r="D9" s="4" t="s">
        <x:v>58</x:v>
      </x:c>
      <x:c r="E9" s="4" t="s">
        <x:v>59</x:v>
      </x:c>
      <x:c r="F9" s="4" t="s">
        <x:v>60</x:v>
      </x:c>
      <x:c r="G9" s="4" t="s">
        <x:v>61</x:v>
      </x:c>
      <x:c r="H9" s="4" t="s">
        <x:v>62</x:v>
      </x:c>
      <x:c r="I9" s="4" t="s">
        <x:v>17</x:v>
      </x:c>
    </x:row>
    <x:row r="10" ht="39.599998474121094" hidden="0" customHeight="1">
      <x:c r="A10" s="4" t="s">
        <x:v>63</x:v>
      </x:c>
      <x:c r="B10" s="4" t="s">
        <x:v>64</x:v>
      </x:c>
      <x:c r="C10" s="4" t="s">
        <x:v>65</x:v>
      </x:c>
      <x:c r="D10" s="4" t="s">
        <x:v>66</x:v>
      </x:c>
      <x:c r="E10" s="4" t="s">
        <x:v>67</x:v>
      </x:c>
      <x:c r="F10" s="8" t="n">
        <x:v>24302</x:v>
      </x:c>
      <x:c r="G10" s="7" t="n">
        <x:f>ROUND(F10*26,0)</x:f>
        <x:v>631852</x:v>
      </x:c>
      <x:c r="H10" s="4" t="str">
        <x:v>24,302円 × 26回 = 631,852円/年（52週換算）。保険試算は暦日ごとに計上。</x:v>
      </x:c>
      <x:c r="I10" s="4" t="str">
        <x:v>厚生労働省2026-08-13適用・2026-09-26確認。レパーサ皮下注140mgペン、コード2189401G2026。https://www.mhlw.go.jp/topics/2026/04/tp20260401-01.html</x:v>
      </x:c>
    </x:row>
    <x:row r="11">
      <x:c r="A11" s="4" t="str">
        <x:v>ACL阻害薬</x:v>
      </x:c>
      <x:c r="B11" s="4" t="str">
        <x:v>ネクセトール（ベムペド酸）180 mg 1日1回</x:v>
      </x:c>
      <x:c r="C11" s="4" t="str">
        <x:v>LDL −21.1% (95% CI −21.9〜−20.3%)</x:v>
      </x:c>
      <x:c r="D11" s="4" t="str">
        <x:v>高尿酸血症・痛風、肝酵素上昇、胆石症</x:v>
      </x:c>
      <x:c r="E11" s="4" t="str">
        <x:v>Nissen SE, et al. N Engl J Med. 2023;388:1353–1364.</x:v>
      </x:c>
      <x:c r="F11" s="4" t="str">
        <x:v>371.5 円/錠</x:v>
      </x:c>
      <x:c r="G11" s="4" t="str">
        <x:v>135,598 円/年</x:v>
      </x:c>
      <x:c r="H11" s="4" t="str">
        <x:v>371.5 × 365 = 135,597.5 円/年</x:v>
      </x:c>
      <x:c r="I11" s="4" t="str">
        <x:v>PMDA電子添文・2025年11月薬価収載</x:v>
      </x:c>
    </x:row>
    <x:row r="12" ht="66" hidden="0" customHeight="1">
      <x:c r="A12" s="4" t="str">
        <x:v>スタチン</x:v>
      </x:c>
      <x:c r="B12" s="4" t="str">
        <x:v>ロスバスタチン 2.5 mg</x:v>
      </x:c>
      <x:c r="C12" s="4" t="str">
        <x:v>LDL −39%（代表値）</x:v>
      </x:c>
      <x:c r="D12" s="4" t="str">
        <x:v>筋肉痛、CK上昇、肝酵素上昇</x:v>
      </x:c>
      <x:c r="E12" s="4" t="str">
        <x:v>Law MR, et al. BMJ. 2003;326:1423.</x:v>
      </x:c>
      <x:c r="F12" s="6" t="n">
        <x:v>10.8</x:v>
      </x:c>
      <x:c r="G12" s="7" t="n">
        <x:f>ROUND(ROUND(F12*365,4),0)</x:f>
        <x:v>3942</x:v>
      </x:c>
      <x:c r="H12" s="4" t="str">
        <x:v>10.8円 × 365単位/年。2.5mg錠 1錠/日 × 365日</x:v>
      </x:c>
      <x:c r="I12" s="4" t="str">
        <x:v>用量別メタ解析を基にした代表値。
薬価: ロスバスタチンカルシウム２．５ｍｇ錠 (２．５ｍｇ１錠)、コード 2189017F1014。厚労省2026-08-13適用、2026-09-26確認。https://www.mhlw.go.jp/topics/2026/04/tp20260401-01.html</x:v>
      </x:c>
    </x:row>
    <x:row r="13" ht="66" hidden="0" customHeight="1">
      <x:c r="A13" s="4" t="str">
        <x:v>スタチン</x:v>
      </x:c>
      <x:c r="B13" s="4" t="str">
        <x:v>アトルバスタチン 5 mg</x:v>
      </x:c>
      <x:c r="C13" s="4" t="str">
        <x:v>LDL −33%（代表値）</x:v>
      </x:c>
      <x:c r="D13" s="4" t="str">
        <x:v>筋肉痛、CK上昇、肝酵素上昇</x:v>
      </x:c>
      <x:c r="E13" s="4" t="str">
        <x:v>Law MR, et al. BMJ. 2003;326:1423.</x:v>
      </x:c>
      <x:c r="F13" s="6" t="n">
        <x:v>10.8</x:v>
      </x:c>
      <x:c r="G13" s="7" t="n">
        <x:f>ROUND(ROUND(F13*365,4),0)</x:f>
        <x:v>3942</x:v>
      </x:c>
      <x:c r="H13" s="4" t="str">
        <x:v>10.8円 × 365単位/年。5mg錠 1錠/日 × 365日</x:v>
      </x:c>
      <x:c r="I13" s="4" t="str">
        <x:v>用量別メタ解析を基にした代表値。
薬価: アトルバスタチンカルシウム５ｍｇ錠 (５ｍｇ１錠)、コード 2189015F1015。厚労省2026-08-13適用、2026-09-26確認。https://www.mhlw.go.jp/topics/2026/04/tp20260401-01.html</x:v>
      </x:c>
    </x:row>
    <x:row r="14" ht="52.79999923706055" hidden="0" customHeight="1">
      <x:c r="A14" s="4" t="str">
        <x:v>スタチン</x:v>
      </x:c>
      <x:c r="B14" s="4" t="str">
        <x:v>ピタバスタチン 1 mg</x:v>
      </x:c>
      <x:c r="C14" s="4" t="str">
        <x:v>LDL −34%（代表値）</x:v>
      </x:c>
      <x:c r="D14" s="4" t="str">
        <x:v>筋肉痛、CK上昇、肝酵素上昇</x:v>
      </x:c>
      <x:c r="E14" s="4" t="str">
        <x:v>Saku K, et al. Circ J. 2011;75:1493–1505.</x:v>
      </x:c>
      <x:c r="F14" s="6" t="n">
        <x:v>10.8</x:v>
      </x:c>
      <x:c r="G14" s="7" t="n">
        <x:f>ROUND(ROUND(F14*365,4),0)</x:f>
        <x:v>3942</x:v>
      </x:c>
      <x:c r="H14" s="4" t="str">
        <x:v>10.8円 × 365単位/年。1mg錠 1錠/日 × 365日</x:v>
      </x:c>
      <x:c r="I14" s="4" t="str">
        <x:v>国内用量反応を基にした代表値。
薬価: ピタバスタチンカルシウム１ｍｇ錠 (１ｍｇ１錠)、コード 2189016F1010。厚労省2026-08-13適用、2026-09-26確認。https://www.mhlw.go.jp/topics/2026/04/tp20260401-01.html</x:v>
      </x:c>
    </x:row>
    <x:row r="15" ht="52.79999923706055" hidden="0" customHeight="1">
      <x:c r="A15" s="4" t="str">
        <x:v>スタチン</x:v>
      </x:c>
      <x:c r="B15" s="4" t="str">
        <x:v>ピタバスタチン 4 mg</x:v>
      </x:c>
      <x:c r="C15" s="4" t="str">
        <x:v>LDL −47%（代表値）</x:v>
      </x:c>
      <x:c r="D15" s="4" t="str">
        <x:v>筋肉痛、CK上昇、肝酵素上昇</x:v>
      </x:c>
      <x:c r="E15" s="4" t="str">
        <x:v>Saku K, et al. Circ J. 2011;75:1493–1505.</x:v>
      </x:c>
      <x:c r="F15" s="6" t="n">
        <x:v>21</x:v>
      </x:c>
      <x:c r="G15" s="7" t="n">
        <x:f>ROUND(ROUND(F15*365,4),0)</x:f>
        <x:v>7665</x:v>
      </x:c>
      <x:c r="H15" s="4" t="str">
        <x:v>21円 × 365単位/年。4mg錠 1錠/日 × 365日</x:v>
      </x:c>
      <x:c r="I15" s="4" t="str">
        <x:v>国内用量反応を基にした代表値。
薬価: ピタバスタチンカルシウム４ｍｇ錠 (４ｍｇ１錠)、コード 2189016F3012。厚労省2026-08-13適用、2026-09-26確認。https://www.mhlw.go.jp/topics/2026/04/tp20260401-01.html</x:v>
      </x:c>
    </x:row>
    <x:row r="16" ht="66" hidden="0" customHeight="1">
      <x:c r="A16" s="4" t="str">
        <x:v>スタチン</x:v>
      </x:c>
      <x:c r="B16" s="4" t="str">
        <x:v>プラバスタチン 10 mg</x:v>
      </x:c>
      <x:c r="C16" s="4" t="str">
        <x:v>LDL −22%（代表値）</x:v>
      </x:c>
      <x:c r="D16" s="4" t="str">
        <x:v>筋肉痛、CK上昇、肝酵素上昇</x:v>
      </x:c>
      <x:c r="E16" s="4" t="str">
        <x:v>Adams SP, et al. Cochrane Database Syst Rev. 2023;9:CD013673.</x:v>
      </x:c>
      <x:c r="F16" s="6" t="n">
        <x:v>12.7</x:v>
      </x:c>
      <x:c r="G16" s="7" t="n">
        <x:f>ROUND(ROUND(F16*365,4),0)</x:f>
        <x:v>4636</x:v>
      </x:c>
      <x:c r="H16" s="4" t="str">
        <x:v>12.7円 × 365単位/年。10mg錠 1錠/日 × 365日</x:v>
      </x:c>
      <x:c r="I16" s="4" t="str">
        <x:v>用量別システマティックレビューの範囲を採用。
薬価: プラバスタチンＮａ錠１０ｍｇ「サワイ」 (１０ｍｇ１錠)、コード 2189010F2353。厚労省2026-08-13適用、2026-09-26確認。https://www.mhlw.go.jp/topics/2026/04/tp20260401-01.html</x:v>
      </x:c>
    </x:row>
    <x:row r="17" ht="66" hidden="0" customHeight="1">
      <x:c r="A17" s="4" t="str">
        <x:v>スタチン</x:v>
      </x:c>
      <x:c r="B17" s="4" t="str">
        <x:v>プラバスタチン 20 mg</x:v>
      </x:c>
      <x:c r="C17" s="4" t="str">
        <x:v>LDL −27%（代表値）</x:v>
      </x:c>
      <x:c r="D17" s="4" t="str">
        <x:v>筋肉痛、CK上昇、肝酵素上昇</x:v>
      </x:c>
      <x:c r="E17" s="4" t="str">
        <x:v>Adams SP, et al. Cochrane Database Syst Rev. 2023;9:CD013673.</x:v>
      </x:c>
      <x:c r="F17" s="6" t="n">
        <x:v>12.7</x:v>
      </x:c>
      <x:c r="G17" s="7" t="n">
        <x:f>ROUND(ROUND(F17*730,4),0)</x:f>
        <x:v>9271</x:v>
      </x:c>
      <x:c r="H17" s="4" t="str">
        <x:v>12.7円 × 730単位/年。10mg錠 2錠/日 × 365日</x:v>
      </x:c>
      <x:c r="I17" s="4" t="str">
        <x:v>用量別システマティックレビューの範囲を採用。
薬価: プラバスタチンＮａ錠１０ｍｇ「サワイ」 (１０ｍｇ１錠)、コード 2189010F2353。厚労省2026-08-13適用、2026-09-26確認。https://www.mhlw.go.jp/topics/2026/04/tp20260401-01.html</x:v>
      </x:c>
    </x:row>
    <x:row r="18" ht="66" hidden="0" customHeight="1">
      <x:c r="A18" s="4" t="str">
        <x:v>siRNA（PCSK9合成阻害）</x:v>
      </x:c>
      <x:c r="B18" s="4" t="str">
        <x:v>レクビオ（インクリシラン）284 mg 6か月ごと</x:v>
      </x:c>
      <x:c r="C18" s="4" t="str">
        <x:v>LDL −50%（プラセボ補正）</x:v>
      </x:c>
      <x:c r="D18" s="4" t="str">
        <x:v>注射部位反応</x:v>
      </x:c>
      <x:c r="E18" s="4" t="str">
        <x:v>Ray KK, et al. N Engl J Med. 2020;382:1507–1519.</x:v>
      </x:c>
      <x:c r="F18" s="6" t="n">
        <x:v>394758</x:v>
      </x:c>
      <x:c r="G18" s="7" t="n">
        <x:f>ROUND(ROUND(F18*2,4),0)</x:f>
        <x:v>789516</x:v>
      </x:c>
      <x:c r="H18" s="4" t="str">
        <x:v>394758円 × 2単位/年。維持期2筒/年。初年度は0・3・9か月の3筒。300mgナトリウム塩＝インクリシラン284mg。初年度 1,184,274円</x:v>
      </x:c>
      <x:c r="I18" s="4" t="str">
        <x:v>初回、3か月後、以後6か月ごと。
薬価: レクビオ皮下注３００ｍｇシリンジ (３００ｍｇ１．５ｍＬ１筒)、コード 2189403G1029。厚労省2026-08-13適用、2026-09-26確認。https://www.mhlw.go.jp/topics/2026/04/tp20260401-01.html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8.83203125" defaultRowHeight="14"/>
  <x:cols>
    <x:col min="6" max="6" width="16.110000610351562" hidden="0" customWidth="1"/>
    <x:col min="7" max="7" width="16.110000610351562" hidden="0" customWidth="1"/>
    <x:col min="8" max="8" width="32.220001220703125" hidden="0" customWidth="1"/>
    <x:col min="9" max="9" width="46.66999816894531" hidden="0" customWidth="1"/>
  </x:cols>
  <x:sheetData>
    <x:row r="1">
      <x:c r="A1" s="3" t="s">
        <x:v>0</x:v>
      </x:c>
      <x:c r="B1" s="3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3" t="s">
        <x:v>8</x:v>
      </x:c>
    </x:row>
    <x:row r="2">
      <x:c r="A2" s="4" t="s">
        <x:v>68</x:v>
      </x:c>
      <x:c r="B2" s="4" t="s">
        <x:v>69</x:v>
      </x:c>
      <x:c r="C2" s="4" t="s">
        <x:v>70</x:v>
      </x:c>
      <x:c r="D2" s="4" t="s">
        <x:v>71</x:v>
      </x:c>
      <x:c r="E2" s="4" t="s">
        <x:v>72</x:v>
      </x:c>
      <x:c r="F2" s="4" t="s">
        <x:v>73</x:v>
      </x:c>
      <x:c r="G2" s="4" t="s">
        <x:v>74</x:v>
      </x:c>
      <x:c r="H2" s="4" t="s">
        <x:v>75</x:v>
      </x:c>
      <x:c r="I2" s="4" t="s">
        <x:v>17</x:v>
      </x:c>
    </x:row>
    <x:row r="3">
      <x:c r="A3" s="4" t="s">
        <x:v>76</x:v>
      </x:c>
      <x:c r="B3" s="4" t="s">
        <x:v>77</x:v>
      </x:c>
      <x:c r="C3" s="4" t="s">
        <x:v>78</x:v>
      </x:c>
      <x:c r="D3" s="4" t="s">
        <x:v>79</x:v>
      </x:c>
      <x:c r="E3" s="4" t="s">
        <x:v>80</x:v>
      </x:c>
      <x:c r="F3" s="4" t="s">
        <x:v>81</x:v>
      </x:c>
      <x:c r="G3" s="4" t="s">
        <x:v>82</x:v>
      </x:c>
      <x:c r="H3" s="4" t="s">
        <x:v>83</x:v>
      </x:c>
      <x:c r="I3" s="4" t="s">
        <x:v>17</x:v>
      </x:c>
    </x:row>
    <x:row r="4">
      <x:c r="A4" s="4" t="s">
        <x:v>76</x:v>
      </x:c>
      <x:c r="B4" s="4" t="s">
        <x:v>84</x:v>
      </x:c>
      <x:c r="C4" s="4" t="s">
        <x:v>70</x:v>
      </x:c>
      <x:c r="D4" s="4" t="s">
        <x:v>85</x:v>
      </x:c>
      <x:c r="E4" s="4" t="s">
        <x:v>80</x:v>
      </x:c>
      <x:c r="F4" s="4" t="s">
        <x:v>86</x:v>
      </x:c>
      <x:c r="G4" s="4" t="s">
        <x:v>87</x:v>
      </x:c>
      <x:c r="H4" s="4" t="s">
        <x:v>88</x:v>
      </x:c>
      <x:c r="I4" s="4" t="s">
        <x:v>17</x:v>
      </x:c>
    </x:row>
    <x:row r="5">
      <x:c r="A5" s="4" t="s">
        <x:v>89</x:v>
      </x:c>
      <x:c r="B5" s="4" t="s">
        <x:v>90</x:v>
      </x:c>
      <x:c r="C5" s="4" t="s">
        <x:v>78</x:v>
      </x:c>
      <x:c r="D5" s="4" t="s">
        <x:v>91</x:v>
      </x:c>
      <x:c r="E5" s="4" t="s">
        <x:v>92</x:v>
      </x:c>
      <x:c r="F5" s="4" t="s">
        <x:v>93</x:v>
      </x:c>
      <x:c r="G5" s="4" t="s">
        <x:v>94</x:v>
      </x:c>
      <x:c r="H5" s="4" t="s">
        <x:v>95</x:v>
      </x:c>
      <x:c r="I5" s="4" t="s">
        <x:v>96</x:v>
      </x:c>
    </x:row>
    <x:row r="6" ht="409.6000061035156">
      <x:c r="A6" s="5" t="s">
        <x:v>97</x:v>
      </x:c>
      <x:c r="B6" s="5" t="s">
        <x:v>98</x:v>
      </x:c>
      <x:c r="C6" s="5" t="s">
        <x:v>99</x:v>
      </x:c>
      <x:c r="D6" s="5" t="s">
        <x:v>100</x:v>
      </x:c>
      <x:c r="E6" s="5" t="s">
        <x:v>101</x:v>
      </x:c>
      <x:c r="F6" s="5" t="s">
        <x:v>102</x:v>
      </x:c>
      <x:c r="G6" s="5" t="s">
        <x:v>103</x:v>
      </x:c>
      <x:c r="H6" s="5" t="s">
        <x:v>104</x:v>
      </x:c>
      <x:c r="I6" s="5" t="s">
        <x:v>17</x:v>
      </x:c>
    </x:row>
    <x:row r="7" ht="409.6000061035156">
      <x:c r="A7" s="5" t="s">
        <x:v>97</x:v>
      </x:c>
      <x:c r="B7" s="5" t="s">
        <x:v>105</x:v>
      </x:c>
      <x:c r="C7" s="5" t="s">
        <x:v>106</x:v>
      </x:c>
      <x:c r="D7" s="5" t="s">
        <x:v>100</x:v>
      </x:c>
      <x:c r="E7" s="5" t="s">
        <x:v>101</x:v>
      </x:c>
      <x:c r="F7" s="5" t="s">
        <x:v>107</x:v>
      </x:c>
      <x:c r="G7" s="5" t="s">
        <x:v>108</x:v>
      </x:c>
      <x:c r="H7" s="5" t="s">
        <x:v>109</x:v>
      </x:c>
      <x:c r="I7" s="5" t="s">
        <x:v>17</x:v>
      </x:c>
    </x:row>
    <x:row r="8" ht="409.6000061035156">
      <x:c r="A8" s="5" t="s">
        <x:v>97</x:v>
      </x:c>
      <x:c r="B8" s="5" t="s">
        <x:v>110</x:v>
      </x:c>
      <x:c r="C8" s="5" t="s">
        <x:v>111</x:v>
      </x:c>
      <x:c r="D8" s="5" t="s">
        <x:v>100</x:v>
      </x:c>
      <x:c r="E8" s="5" t="s">
        <x:v>101</x:v>
      </x:c>
      <x:c r="F8" s="5" t="s">
        <x:v>112</x:v>
      </x:c>
      <x:c r="G8" s="5" t="s">
        <x:v>113</x:v>
      </x:c>
      <x:c r="H8" s="5" t="s">
        <x:v>114</x:v>
      </x:c>
      <x:c r="I8" s="5" t="s">
        <x:v>17</x:v>
      </x:c>
    </x:row>
    <x:row r="9" ht="409.6000061035156">
      <x:c r="A9" s="5" t="s">
        <x:v>115</x:v>
      </x:c>
      <x:c r="B9" s="5" t="s">
        <x:v>116</x:v>
      </x:c>
      <x:c r="C9" s="5" t="s">
        <x:v>117</x:v>
      </x:c>
      <x:c r="D9" s="5" t="s">
        <x:v>118</x:v>
      </x:c>
      <x:c r="E9" s="5" t="s">
        <x:v>119</x:v>
      </x:c>
      <x:c r="F9" s="5" t="s">
        <x:v>120</x:v>
      </x:c>
      <x:c r="G9" s="5" t="s">
        <x:v>121</x:v>
      </x:c>
      <x:c r="H9" s="5" t="s">
        <x:v>122</x:v>
      </x:c>
      <x:c r="I9" s="5" t="s">
        <x:v>123</x:v>
      </x:c>
    </x:row>
    <x:row r="10" ht="409.6000061035156">
      <x:c r="A10" s="5" t="s">
        <x:v>115</x:v>
      </x:c>
      <x:c r="B10" s="5" t="s">
        <x:v>124</x:v>
      </x:c>
      <x:c r="C10" s="5" t="s">
        <x:v>125</x:v>
      </x:c>
      <x:c r="D10" s="5" t="s">
        <x:v>126</x:v>
      </x:c>
      <x:c r="E10" s="5" t="s">
        <x:v>119</x:v>
      </x:c>
      <x:c r="F10" s="5" t="s">
        <x:v>127</x:v>
      </x:c>
      <x:c r="G10" s="5" t="s">
        <x:v>128</x:v>
      </x:c>
      <x:c r="H10" s="5" t="s">
        <x:v>129</x:v>
      </x:c>
      <x:c r="I10" s="5" t="s">
        <x:v>123</x:v>
      </x:c>
    </x:row>
    <x:row r="11" ht="409.6000061035156">
      <x:c r="A11" s="5" t="s">
        <x:v>130</x:v>
      </x:c>
      <x:c r="B11" s="5" t="s">
        <x:v>131</x:v>
      </x:c>
      <x:c r="C11" s="5" t="s">
        <x:v>132</x:v>
      </x:c>
      <x:c r="D11" s="5" t="s">
        <x:v>133</x:v>
      </x:c>
      <x:c r="E11" s="5" t="s">
        <x:v>134</x:v>
      </x:c>
      <x:c r="F11" s="5" t="s">
        <x:v>135</x:v>
      </x:c>
      <x:c r="G11" s="5" t="s">
        <x:v>136</x:v>
      </x:c>
      <x:c r="H11" s="5" t="s">
        <x:v>137</x:v>
      </x:c>
      <x:c r="I11" s="5" t="s">
        <x:v>123</x:v>
      </x:c>
    </x:row>
    <x:row r="12" ht="409.6000061035156">
      <x:c r="A12" s="5" t="s">
        <x:v>130</x:v>
      </x:c>
      <x:c r="B12" s="5" t="s">
        <x:v>138</x:v>
      </x:c>
      <x:c r="C12" s="5" t="s">
        <x:v>139</x:v>
      </x:c>
      <x:c r="D12" s="5" t="s">
        <x:v>140</x:v>
      </x:c>
      <x:c r="E12" s="5" t="s">
        <x:v>134</x:v>
      </x:c>
      <x:c r="F12" s="5" t="s">
        <x:v>141</x:v>
      </x:c>
      <x:c r="G12" s="5" t="s">
        <x:v>142</x:v>
      </x:c>
      <x:c r="H12" s="5" t="s">
        <x:v>143</x:v>
      </x:c>
      <x:c r="I12" s="5" t="s">
        <x:v>123</x:v>
      </x:c>
    </x:row>
    <x:row r="13" ht="409.6000061035156">
      <x:c r="A13" s="5" t="s">
        <x:v>130</x:v>
      </x:c>
      <x:c r="B13" s="5" t="s">
        <x:v>144</x:v>
      </x:c>
      <x:c r="C13" s="5" t="s">
        <x:v>145</x:v>
      </x:c>
      <x:c r="D13" s="5" t="s">
        <x:v>146</x:v>
      </x:c>
      <x:c r="E13" s="5" t="s">
        <x:v>134</x:v>
      </x:c>
      <x:c r="F13" s="5" t="s">
        <x:v>147</x:v>
      </x:c>
      <x:c r="G13" s="5" t="s">
        <x:v>148</x:v>
      </x:c>
      <x:c r="H13" s="5" t="s">
        <x:v>149</x:v>
      </x:c>
      <x:c r="I13" s="5" t="s">
        <x:v>123</x:v>
      </x:c>
    </x:row>
    <x:row r="14" ht="66" hidden="0" customHeight="1">
      <x:c r="A14" s="4" t="str">
        <x:v>ビグアナイド</x:v>
      </x:c>
      <x:c r="B14" s="4" t="str">
        <x:v>メトホルミン 250 mg</x:v>
      </x:c>
      <x:c r="C14" s="4" t="str">
        <x:v>HbA1c −0.5%（代表設定値）</x:v>
      </x:c>
      <x:c r="D14" s="4" t="str">
        <x:v>消化器症状、乳酸アシドーシス（極めてまれ）</x:v>
      </x:c>
      <x:c r="E14" s="4" t="str">
        <x:v>JDS. Treatment Guide for Diabetes 2024–2025.</x:v>
      </x:c>
      <x:c r="F14" s="6" t="n">
        <x:v>10.8</x:v>
      </x:c>
      <x:c r="G14" s="7" t="n">
        <x:f>ROUND(ROUND(F14*365,4),0)</x:f>
        <x:v>3942</x:v>
      </x:c>
      <x:c r="H14" s="4" t="str">
        <x:v>10.8円 × 365単位/年。250mg MT錠 1錠/日 × 365日（選択用量を1日量として算出）</x:v>
      </x:c>
      <x:c r="I14" s="4" t="str">
        <x:v>開始量の保守的な設定。
薬価: メトホルミン塩酸塩２５０ｍｇＭＴ錠 (２５０ｍｇ１錠)、コード 3962002F2019。厚労省2026-08-13適用、2026-09-26確認。https://www.mhlw.go.jp/topics/2026/04/tp20260401-01.html</x:v>
      </x:c>
    </x:row>
    <x:row r="15" ht="66" hidden="0" customHeight="1">
      <x:c r="A15" s="4" t="str">
        <x:v>ビグアナイド</x:v>
      </x:c>
      <x:c r="B15" s="4" t="str">
        <x:v>メトホルミン 1000 mg</x:v>
      </x:c>
      <x:c r="C15" s="4" t="str">
        <x:v>HbA1c −1.0%（代表値）</x:v>
      </x:c>
      <x:c r="D15" s="4" t="str">
        <x:v>消化器症状、乳酸アシドーシス（極めてまれ）</x:v>
      </x:c>
      <x:c r="E15" s="4" t="str">
        <x:v>JDS. Treatment Guide for Diabetes 2024–2025.</x:v>
      </x:c>
      <x:c r="F15" s="6" t="n">
        <x:v>10.8</x:v>
      </x:c>
      <x:c r="G15" s="7" t="n">
        <x:f>ROUND(ROUND(F15*730,4),0)</x:f>
        <x:v>7884</x:v>
      </x:c>
      <x:c r="H15" s="4" t="str">
        <x:v>10.8円 × 730単位/年。500mg MT錠 2錠/日 × 365日</x:v>
      </x:c>
      <x:c r="I15" s="4" t="str">
        <x:v>用量反応を考慮した代表値。
薬価: メトホルミン塩酸塩５００ｍｇＭＴ錠 (５００ｍｇ１錠)、コード 3962002F3015。厚労省2026-08-13適用、2026-09-26確認。https://www.mhlw.go.jp/topics/2026/04/tp20260401-01.html</x:v>
      </x:c>
    </x:row>
    <x:row r="16" ht="52.79999923706055" hidden="0" customHeight="1">
      <x:c r="A16" s="4" t="str">
        <x:v>SGLT2阻害薬</x:v>
      </x:c>
      <x:c r="B16" s="4" t="str">
        <x:v>フォシーガ（ダパグリフロジン）5 mg</x:v>
      </x:c>
      <x:c r="C16" s="4" t="str">
        <x:v>HbA1c −0.5%（代表値）</x:v>
      </x:c>
      <x:c r="D16" s="4" t="str">
        <x:v>性器・尿路感染、脱水、ケトアシドーシス</x:v>
      </x:c>
      <x:c r="E16" s="4" t="str">
        <x:v>Musso G, et al. BMJ Open. 2012;2:e001007.</x:v>
      </x:c>
      <x:c r="F16" s="6" t="n">
        <x:v>96</x:v>
      </x:c>
      <x:c r="G16" s="7" t="n">
        <x:f>ROUND(ROUND(F16*365,4),0)</x:f>
        <x:v>35040</x:v>
      </x:c>
      <x:c r="H16" s="4" t="str">
        <x:v>96円 × 365単位/年。5mg錠 1錠/日 × 365日</x:v>
      </x:c>
      <x:c r="I16" s="4" t="str">
        <x:v>RCTメタ解析を基に設定。
薬価: フォシーガ錠５ｍｇ (５ｍｇ１錠)、コード 3969019F1027。厚労省2026-08-13適用、2026-09-26確認。https://www.mhlw.go.jp/topics/2026/04/tp20260401-01.html</x:v>
      </x:c>
    </x:row>
    <x:row r="17" ht="52.79999923706055" hidden="0" customHeight="1">
      <x:c r="A17" s="4" t="str">
        <x:v>SGLT2阻害薬</x:v>
      </x:c>
      <x:c r="B17" s="4" t="str">
        <x:v>フォシーガ（ダパグリフロジン）10 mg</x:v>
      </x:c>
      <x:c r="C17" s="4" t="str">
        <x:v>HbA1c −0.54% (95% CI −0.67〜−0.40)</x:v>
      </x:c>
      <x:c r="D17" s="4" t="str">
        <x:v>性器・尿路感染、脱水、ケトアシドーシス</x:v>
      </x:c>
      <x:c r="E17" s="4" t="str">
        <x:v>Musso G, et al. BMJ Open. 2012;2:e001007.</x:v>
      </x:c>
      <x:c r="F17" s="6" t="n">
        <x:v>140.6</x:v>
      </x:c>
      <x:c r="G17" s="7" t="n">
        <x:f>ROUND(ROUND(F17*365,4),0)</x:f>
        <x:v>51319</x:v>
      </x:c>
      <x:c r="H17" s="4" t="str">
        <x:v>140.6円 × 365単位/年。10mg錠 1錠/日 × 365日</x:v>
      </x:c>
      <x:c r="I17" s="4" t="str">
        <x:v>RCTメタ解析。
薬価: フォシーガ錠１０ｍｇ (１０ｍｇ１錠)、コード 3969019F2023。厚労省2026-08-13適用、2026-09-26確認。https://www.mhlw.go.jp/topics/2026/04/tp20260401-01.html</x:v>
      </x:c>
    </x:row>
    <x:row r="18" ht="52.79999923706055" hidden="0" customHeight="1">
      <x:c r="A18" s="4" t="str">
        <x:v>SGLT2阻害薬</x:v>
      </x:c>
      <x:c r="B18" s="4" t="str">
        <x:v>カナグル（カナグリフロジン）100 mg</x:v>
      </x:c>
      <x:c r="C18" s="4" t="str">
        <x:v>HbA1c −0.68%（クラス推定）</x:v>
      </x:c>
      <x:c r="D18" s="4" t="str">
        <x:v>性器・尿路感染、脱水、ケトアシドーシス</x:v>
      </x:c>
      <x:c r="E18" s="4" t="str">
        <x:v>NICE. Type 2 diabetes evidence review. 2025.</x:v>
      </x:c>
      <x:c r="F18" s="6" t="n">
        <x:v>133.7</x:v>
      </x:c>
      <x:c r="G18" s="7" t="n">
        <x:f>ROUND(ROUND(F18*365,4),0)</x:f>
        <x:v>48801</x:v>
      </x:c>
      <x:c r="H18" s="4" t="str">
        <x:v>133.7円 × 365単位/年。1錠/日 × 365日</x:v>
      </x:c>
      <x:c r="I18" s="4" t="str">
        <x:v>ネットワークメタ解析の代表値。
薬価: カナグル錠１００ｍｇ (１００ｍｇ１錠)、コード 3969022F1029。厚労省2026-08-13適用、2026-09-26確認。https://www.mhlw.go.jp/topics/2026/04/tp20260401-01.html</x:v>
      </x:c>
    </x:row>
    <x:row r="19" ht="52.79999923706055" hidden="0" customHeight="1">
      <x:c r="A19" s="4" t="str">
        <x:v>SGLT2阻害薬</x:v>
      </x:c>
      <x:c r="B19" s="4" t="str">
        <x:v>スーグラ（イプラグリフロジン）50 mg</x:v>
      </x:c>
      <x:c r="C19" s="4" t="str">
        <x:v>HbA1c −0.6%（代表設定値）</x:v>
      </x:c>
      <x:c r="D19" s="4" t="str">
        <x:v>性器・尿路感染、脱水、ケトアシドーシス</x:v>
      </x:c>
      <x:c r="E19" s="4" t="str">
        <x:v>JDS. Treatment Guide for Diabetes 2024–2025.</x:v>
      </x:c>
      <x:c r="F19" s="6" t="n">
        <x:v>145</x:v>
      </x:c>
      <x:c r="G19" s="7" t="n">
        <x:f>ROUND(ROUND(F19*365,4),0)</x:f>
        <x:v>52925</x:v>
      </x:c>
      <x:c r="H19" s="4" t="str">
        <x:v>145円 × 365単位/年。1錠/日 × 365日</x:v>
      </x:c>
      <x:c r="I19" s="4" t="str">
        <x:v>国内標準用量の代表設定値。
薬価: スーグラ錠５０ｍｇ (５０ｍｇ１錠)、コード 3969018F2029。厚労省2026-08-13適用、2026-09-26確認。https://www.mhlw.go.jp/topics/2026/04/tp20260401-01.html</x:v>
      </x:c>
    </x:row>
    <x:row r="20" ht="52.79999923706055" hidden="0" customHeight="1">
      <x:c r="A20" s="4" t="str">
        <x:v>DPP-4阻害薬</x:v>
      </x:c>
      <x:c r="B20" s="4" t="str">
        <x:v>ジャヌビア（シタグリプチン）50 mg</x:v>
      </x:c>
      <x:c r="C20" s="4" t="str">
        <x:v>HbA1c −0.64% (95% CI −0.72〜−0.56)</x:v>
      </x:c>
      <x:c r="D20" s="4" t="str">
        <x:v>低血糖（併用時）、類天疱瘡、膵炎（まれ）</x:v>
      </x:c>
      <x:c r="E20" s="4" t="str">
        <x:v>NICE. Type 2 diabetes evidence review. 2025.</x:v>
      </x:c>
      <x:c r="F20" s="6" t="n">
        <x:v>78.3</x:v>
      </x:c>
      <x:c r="G20" s="7" t="n">
        <x:f>ROUND(ROUND(F20*365,4),0)</x:f>
        <x:v>28580</x:v>
      </x:c>
      <x:c r="H20" s="4" t="str">
        <x:v>78.3円 × 365単位/年。1錠/日 × 365日</x:v>
      </x:c>
      <x:c r="I20" s="4" t="str">
        <x:v>クラス比較メタ解析の代表値。
薬価: ジャヌビア錠５０ｍｇ (５０ｍｇ１錠)、コード 3969010F2030。厚労省2026-08-13適用、2026-09-26確認。https://www.mhlw.go.jp/topics/2026/04/tp20260401-01.html</x:v>
      </x:c>
    </x:row>
    <x:row r="21" ht="52.79999923706055" hidden="0" customHeight="1">
      <x:c r="A21" s="4" t="str">
        <x:v>DPP-4阻害薬</x:v>
      </x:c>
      <x:c r="B21" s="4" t="str">
        <x:v>テネリア（テネリグリプチン）20 mg</x:v>
      </x:c>
      <x:c r="C21" s="4" t="str">
        <x:v>HbA1c −0.6%（代表設定値）</x:v>
      </x:c>
      <x:c r="D21" s="4" t="str">
        <x:v>低血糖（併用時）、類天疱瘡、QT延長に注意</x:v>
      </x:c>
      <x:c r="E21" s="4" t="str">
        <x:v>JDS. Treatment Guide for Diabetes 2024–2025.</x:v>
      </x:c>
      <x:c r="F21" s="6" t="n">
        <x:v>91.4</x:v>
      </x:c>
      <x:c r="G21" s="7" t="n">
        <x:f>ROUND(ROUND(F21*365,4),0)</x:f>
        <x:v>33361</x:v>
      </x:c>
      <x:c r="H21" s="4" t="str">
        <x:v>91.4円 × 365単位/年。1錠/日 × 365日</x:v>
      </x:c>
      <x:c r="I21" s="4" t="str">
        <x:v>国内標準用量の代表設定値。
薬価: テネリア錠２０ｍｇ (２０ｍｇ１錠)、コード 3969015F1029。厚労省2026-08-13適用、2026-09-26確認。https://www.mhlw.go.jp/topics/2026/04/tp20260401-01.html</x:v>
      </x:c>
    </x:row>
    <x:row r="22" ht="66" hidden="0" customHeight="1">
      <x:c r="A22" s="4" t="str">
        <x:v>GLP-1受容体作動薬（皮下）</x:v>
      </x:c>
      <x:c r="B22" s="4" t="str">
        <x:v>トルリシティ（デュラグルチド）0.75 mg/週</x:v>
      </x:c>
      <x:c r="C22" s="4" t="str">
        <x:v>HbA1c −0.98% (95% CI −1.10〜−0.86)</x:v>
      </x:c>
      <x:c r="D22" s="4" t="str">
        <x:v>悪心、下痢、嘔吐</x:v>
      </x:c>
      <x:c r="E22" s="4" t="str">
        <x:v>NICE. Type 2 diabetes evidence review. 2025.</x:v>
      </x:c>
      <x:c r="F22" s="6" t="n">
        <x:v>2699</x:v>
      </x:c>
      <x:c r="G22" s="7" t="n">
        <x:f>ROUND(ROUND(F22*52,4),0)</x:f>
        <x:v>140348</x:v>
      </x:c>
      <x:c r="H22" s="4" t="str">
        <x:v>2699円 × 52単位/年。0.75mgキット 1回/週 × 52週（既存週1回薬と同じ年換算）</x:v>
      </x:c>
      <x:c r="I22" s="4" t="str">
        <x:v>メタ解析の代表値。
薬価: トルリシティ皮下注０．７５ｍｇアテオス (０．７５ｍｇ０．５ｍＬ１キット)、コード 2499416G1029。厚労省2026-08-13適用、2026-09-26確認。https://www.mhlw.go.jp/topics/2026/04/tp20260401-01.html</x:v>
      </x:c>
    </x:row>
    <x:row r="23" ht="66" hidden="0" customHeight="1">
      <x:c r="A23" s="4" t="str">
        <x:v>GLP-1受容体作動薬（皮下）</x:v>
      </x:c>
      <x:c r="B23" s="4" t="str">
        <x:v>ビクトーザ（リラグルチド）0.9 mg/日</x:v>
      </x:c>
      <x:c r="C23" s="4" t="str">
        <x:v>HbA1c −0.8%（代表値）</x:v>
      </x:c>
      <x:c r="D23" s="4" t="str">
        <x:v>悪心、下痢、嘔吐</x:v>
      </x:c>
      <x:c r="E23" s="4" t="str">
        <x:v>NICE. Type 2 diabetes evidence review. 2025.</x:v>
      </x:c>
      <x:c r="F23" s="6" t="n">
        <x:v>4634</x:v>
      </x:c>
      <x:c r="G23" s="7" t="n">
        <x:f>ROUND(ROUND(F23*18.25,4),0)</x:f>
        <x:v>84571</x:v>
      </x:c>
      <x:c r="H23" s="4" t="str">
        <x:v>4634円 × 18.25単位/年。18mgキット × 0.9mg/日 ÷ 18mg × 365日。消費量按分、端数キット・針代・導入漸増を除く</x:v>
      </x:c>
      <x:c r="I23" s="4" t="str">
        <x:v>クラス推定から低用量を保守的に設定。
薬価: ビクトーザ皮下注１８ｍｇ (１８ｍｇ３ｍＬ１キット)、コード 2499410G1021。厚労省2026-08-13適用、2026-09-26確認。https://www.mhlw.go.jp/topics/2026/04/tp20260401-01.html</x:v>
      </x:c>
    </x:row>
    <x:row r="24" ht="66" hidden="0" customHeight="1">
      <x:c r="A24" s="4" t="str">
        <x:v>GLP-1受容体作動薬（皮下）</x:v>
      </x:c>
      <x:c r="B24" s="4" t="str">
        <x:v>ビクトーザ（リラグルチド）1.8 mg/日</x:v>
      </x:c>
      <x:c r="C24" s="4" t="str">
        <x:v>HbA1c −0.89% (95% CI −0.99〜−0.80)</x:v>
      </x:c>
      <x:c r="D24" s="4" t="str">
        <x:v>悪心、下痢、嘔吐</x:v>
      </x:c>
      <x:c r="E24" s="4" t="str">
        <x:v>NICE. Type 2 diabetes evidence review. 2025.</x:v>
      </x:c>
      <x:c r="F24" s="6" t="n">
        <x:v>4634</x:v>
      </x:c>
      <x:c r="G24" s="7" t="n">
        <x:f>ROUND(ROUND(F24*36.5,4),0)</x:f>
        <x:v>169141</x:v>
      </x:c>
      <x:c r="H24" s="4" t="str">
        <x:v>4634円 × 36.5単位/年。18mgキット × 1.8mg/日 ÷ 18mg × 365日。消費量按分、端数キット・針代・導入漸増を除く</x:v>
      </x:c>
      <x:c r="I24" s="4" t="str">
        <x:v>メタ解析の代表値。
薬価: ビクトーザ皮下注１８ｍｇ (１８ｍｇ３ｍＬ１キット)、コード 2499410G1021。厚労省2026-08-13適用、2026-09-26確認。https://www.mhlw.go.jp/topics/2026/04/tp20260401-01.html</x:v>
      </x:c>
    </x:row>
    <x:row r="25" ht="52.79999923706055" hidden="0" customHeight="1">
      <x:c r="A25" s="4" t="str">
        <x:v>スルホニル尿素薬</x:v>
      </x:c>
      <x:c r="B25" s="4" t="str">
        <x:v>グリメピリド 0.5 mg</x:v>
      </x:c>
      <x:c r="C25" s="4" t="str">
        <x:v>HbA1c −0.4%（代表設定値）</x:v>
      </x:c>
      <x:c r="D25" s="4" t="str">
        <x:v>低血糖、体重増加</x:v>
      </x:c>
      <x:c r="E25" s="4" t="str">
        <x:v>NICE. Type 2 diabetes evidence review. 2025.</x:v>
      </x:c>
      <x:c r="F25" s="6" t="n">
        <x:v>10.5</x:v>
      </x:c>
      <x:c r="G25" s="7" t="n">
        <x:f>ROUND(ROUND(F25*365,4),0)</x:f>
        <x:v>3833</x:v>
      </x:c>
      <x:c r="H25" s="4" t="str">
        <x:v>10.5円 × 365単位/年。0.5mg錠 1錠/日 × 365日</x:v>
      </x:c>
      <x:c r="I25" s="4" t="str">
        <x:v>クラス推定から低用量を保守的に設定。
薬価: グリメピリド０．５ｍｇ錠 (０．５ｍｇ１錠)、コード 3961008F3015。厚労省2026-08-13適用、2026-09-26確認。https://www.mhlw.go.jp/topics/2026/04/tp20260401-01.html</x:v>
      </x:c>
    </x:row>
    <x:row r="26" ht="52.79999923706055" hidden="0" customHeight="1">
      <x:c r="A26" s="4" t="str">
        <x:v>スルホニル尿素薬</x:v>
      </x:c>
      <x:c r="B26" s="4" t="str">
        <x:v>グリメピリド 1 mg</x:v>
      </x:c>
      <x:c r="C26" s="4" t="str">
        <x:v>HbA1c −0.59%（代表値）</x:v>
      </x:c>
      <x:c r="D26" s="4" t="str">
        <x:v>低血糖、体重増加</x:v>
      </x:c>
      <x:c r="E26" s="4" t="str">
        <x:v>NICE. Type 2 diabetes evidence review. 2025.</x:v>
      </x:c>
      <x:c r="F26" s="6" t="n">
        <x:v>10.8</x:v>
      </x:c>
      <x:c r="G26" s="7" t="n">
        <x:f>ROUND(ROUND(F26*365,4),0)</x:f>
        <x:v>3942</x:v>
      </x:c>
      <x:c r="H26" s="4" t="str">
        <x:v>10.8円 × 365単位/年。1mg錠 1錠/日 × 365日</x:v>
      </x:c>
      <x:c r="I26" s="4" t="str">
        <x:v>ネットワークメタ解析の代表値。
薬価: グリメピリド１ｍｇ錠 (１ｍｇ１錠)、コード 3961008F1012。厚労省2026-08-13適用、2026-09-26確認。https://www.mhlw.go.jp/topics/2026/04/tp20260401-01.html</x:v>
      </x:c>
    </x:row>
    <x:row r="27" ht="52.79999923706055" hidden="0" customHeight="1">
      <x:c r="A27" s="4" t="str">
        <x:v>チアゾリジン薬</x:v>
      </x:c>
      <x:c r="B27" s="4" t="str">
        <x:v>ピオグリタゾン 15 mg</x:v>
      </x:c>
      <x:c r="C27" s="4" t="str">
        <x:v>HbA1c −0.5%（代表設定値）</x:v>
      </x:c>
      <x:c r="D27" s="4" t="str">
        <x:v>浮腫、体重増加、心不全、骨折</x:v>
      </x:c>
      <x:c r="E27" s="4" t="str">
        <x:v>NICE. Type 2 diabetes evidence review. 2025.</x:v>
      </x:c>
      <x:c r="F27" s="6" t="n">
        <x:v>10.8</x:v>
      </x:c>
      <x:c r="G27" s="7" t="n">
        <x:f>ROUND(ROUND(F27*365,4),0)</x:f>
        <x:v>3942</x:v>
      </x:c>
      <x:c r="H27" s="4" t="str">
        <x:v>10.8円 × 365単位/年。15mg錠 1錠/日 × 365日</x:v>
      </x:c>
      <x:c r="I27" s="4" t="str">
        <x:v>クラス推定から低用量を保守的に設定。
薬価: ピオグリタゾン塩酸塩１５ｍｇ錠 (１５ｍｇ１錠)、コード 3969007F1016。厚労省2026-08-13適用、2026-09-26確認。https://www.mhlw.go.jp/topics/2026/04/tp20260401-01.html</x:v>
      </x:c>
    </x:row>
    <x:row r="28" ht="52.79999923706055" hidden="0" customHeight="1">
      <x:c r="A28" s="4" t="str">
        <x:v>チアゾリジン薬</x:v>
      </x:c>
      <x:c r="B28" s="4" t="str">
        <x:v>ピオグリタゾン 30 mg</x:v>
      </x:c>
      <x:c r="C28" s="4" t="str">
        <x:v>HbA1c −0.64%（代表値）</x:v>
      </x:c>
      <x:c r="D28" s="4" t="str">
        <x:v>浮腫、体重増加、心不全、骨折</x:v>
      </x:c>
      <x:c r="E28" s="4" t="str">
        <x:v>NICE. Type 2 diabetes evidence review. 2025.</x:v>
      </x:c>
      <x:c r="F28" s="6" t="n">
        <x:v>18.7</x:v>
      </x:c>
      <x:c r="G28" s="7" t="n">
        <x:f>ROUND(ROUND(F28*365,4),0)</x:f>
        <x:v>6826</x:v>
      </x:c>
      <x:c r="H28" s="4" t="str">
        <x:v>18.7円 × 365単位/年。30mg錠 1錠/日 × 365日</x:v>
      </x:c>
      <x:c r="I28" s="4" t="str">
        <x:v>ネットワークメタ解析の代表値。
薬価: ピオグリタゾン塩酸塩３０ｍｇ錠 (３０ｍｇ１錠)、コード 3969007F2012。厚労省2026-08-13適用、2026-09-26確認。https://www.mhlw.go.jp/topics/2026/04/tp20260401-01.html</x:v>
      </x:c>
    </x:row>
    <x:row r="29" ht="52.79999923706055" hidden="0" customHeight="1">
      <x:c r="A29" s="4" t="str">
        <x:v>ミトコンドリア機能改善薬</x:v>
      </x:c>
      <x:c r="B29" s="4" t="str">
        <x:v>ツイミーグ（イメグリミン）1000 mg 1日2回</x:v>
      </x:c>
      <x:c r="C29" s="4" t="str">
        <x:v>HbA1c −0.87%（代表値）</x:v>
      </x:c>
      <x:c r="D29" s="4" t="str">
        <x:v>悪心、下痢、低血糖（併用時）</x:v>
      </x:c>
      <x:c r="E29" s="4" t="str">
        <x:v>Dubourg J, et al. Diabetes Obes Metab. 2021;23:800–810.</x:v>
      </x:c>
      <x:c r="F29" s="6" t="n">
        <x:v>32.5</x:v>
      </x:c>
      <x:c r="G29" s="7" t="n">
        <x:f>ROUND(ROUND(F29*1460,4),0)</x:f>
        <x:v>47450</x:v>
      </x:c>
      <x:c r="H29" s="4" t="str">
        <x:v>32.5円 × 1460単位/年。500mg錠 2錠/回 × 2回/日 × 365日</x:v>
      </x:c>
      <x:c r="I29" s="4" t="str">
        <x:v>TIMES 1を基にした代表値。
薬価: ツイミーグ錠５００ｍｇ (５００ｍｇ１錠)、コード 3969026F1027。厚労省2026-08-13適用、2026-09-26確認。https://www.mhlw.go.jp/topics/2026/04/tp20260401-01.html</x:v>
      </x:c>
    </x:row>
  </x:sheetData>
  <x:pageMargins left="0.7" right="0.7" top="0.75" bottom="0.75" header="0.3" footer="0.3"/>
</x:worksheet>
</file>